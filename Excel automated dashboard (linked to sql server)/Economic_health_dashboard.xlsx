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\Downloads\myPython\portfolio\SQL\FRED SQL Warehouse using mediallion architecture\Excel automated dashboard (linked to sql server)\"/>
    </mc:Choice>
  </mc:AlternateContent>
  <xr:revisionPtr revIDLastSave="0" documentId="13_ncr:1_{C3EC5741-8077-4D28-8D13-08D41EE4A454}" xr6:coauthVersionLast="47" xr6:coauthVersionMax="47" xr10:uidLastSave="{00000000-0000-0000-0000-000000000000}"/>
  <bookViews>
    <workbookView xWindow="-108" yWindow="-108" windowWidth="23256" windowHeight="12456" activeTab="1" xr2:uid="{2EC669E6-7276-42AA-B8D3-CF96CF30A8EF}"/>
  </bookViews>
  <sheets>
    <sheet name="data_quarterly_yoy_growth" sheetId="2" r:id="rId1"/>
    <sheet name="economy_score" sheetId="3" r:id="rId2"/>
    <sheet name="pivot_analysis" sheetId="4" r:id="rId3"/>
    <sheet name="Dashboard" sheetId="1" r:id="rId4"/>
  </sheets>
  <definedNames>
    <definedName name="_xlnm._FilterDatabase" localSheetId="2" hidden="1">pivot_analysis!$K$2:$O$20</definedName>
    <definedName name="ExternalData_1" localSheetId="0" hidden="1">data_quarterly_yoy_growth!$A$1:$E$2227</definedName>
    <definedName name="ExternalData_1" localSheetId="1" hidden="1">economy_score!$A$1:$D$351</definedName>
  </definedNames>
  <calcPr calcId="191029" concurrentCalc="0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 a="1"/>
  <c r="E2" i="3"/>
  <c r="E3" i="3" a="1"/>
  <c r="E3" i="3"/>
  <c r="E4" i="3" a="1"/>
  <c r="E4" i="3"/>
  <c r="E5" i="3" a="1"/>
  <c r="E5" i="3"/>
  <c r="E6" i="3" a="1"/>
  <c r="E6" i="3"/>
  <c r="E7" i="3" a="1"/>
  <c r="E7" i="3"/>
  <c r="E8" i="3" a="1"/>
  <c r="E8" i="3"/>
  <c r="E9" i="3" a="1"/>
  <c r="E9" i="3"/>
  <c r="E10" i="3" a="1"/>
  <c r="E10" i="3"/>
  <c r="E11" i="3" a="1"/>
  <c r="E11" i="3"/>
  <c r="E12" i="3" a="1"/>
  <c r="E12" i="3"/>
  <c r="E13" i="3" a="1"/>
  <c r="E13" i="3"/>
  <c r="E14" i="3" a="1"/>
  <c r="E14" i="3"/>
  <c r="E15" i="3" a="1"/>
  <c r="E15" i="3"/>
  <c r="E16" i="3" a="1"/>
  <c r="E16" i="3"/>
  <c r="E17" i="3" a="1"/>
  <c r="E17" i="3"/>
  <c r="E18" i="3" a="1"/>
  <c r="E18" i="3"/>
  <c r="E19" i="3" a="1"/>
  <c r="E19" i="3"/>
  <c r="E20" i="3" a="1"/>
  <c r="E20" i="3"/>
  <c r="E21" i="3" a="1"/>
  <c r="E21" i="3"/>
  <c r="E22" i="3" a="1"/>
  <c r="E22" i="3"/>
  <c r="E23" i="3" a="1"/>
  <c r="E23" i="3"/>
  <c r="E24" i="3" a="1"/>
  <c r="E24" i="3"/>
  <c r="E25" i="3" a="1"/>
  <c r="E25" i="3"/>
  <c r="E26" i="3" a="1"/>
  <c r="E26" i="3"/>
  <c r="E27" i="3" a="1"/>
  <c r="E27" i="3"/>
  <c r="E28" i="3" a="1"/>
  <c r="E28" i="3"/>
  <c r="E29" i="3" a="1"/>
  <c r="E29" i="3"/>
  <c r="E30" i="3" a="1"/>
  <c r="E30" i="3"/>
  <c r="E31" i="3" a="1"/>
  <c r="E31" i="3"/>
  <c r="E32" i="3" a="1"/>
  <c r="E32" i="3"/>
  <c r="E33" i="3" a="1"/>
  <c r="E33" i="3"/>
  <c r="E34" i="3" a="1"/>
  <c r="E34" i="3"/>
  <c r="E35" i="3" a="1"/>
  <c r="E35" i="3"/>
  <c r="E36" i="3" a="1"/>
  <c r="E36" i="3"/>
  <c r="E37" i="3" a="1"/>
  <c r="E37" i="3"/>
  <c r="E38" i="3" a="1"/>
  <c r="E38" i="3"/>
  <c r="E39" i="3" a="1"/>
  <c r="E39" i="3"/>
  <c r="E40" i="3" a="1"/>
  <c r="E40" i="3"/>
  <c r="E41" i="3" a="1"/>
  <c r="E41" i="3"/>
  <c r="E42" i="3" a="1"/>
  <c r="E42" i="3"/>
  <c r="E43" i="3" a="1"/>
  <c r="E43" i="3"/>
  <c r="E44" i="3" a="1"/>
  <c r="E44" i="3"/>
  <c r="E45" i="3" a="1"/>
  <c r="E45" i="3"/>
  <c r="E46" i="3" a="1"/>
  <c r="E46" i="3"/>
  <c r="E47" i="3" a="1"/>
  <c r="E47" i="3"/>
  <c r="E48" i="3" a="1"/>
  <c r="E48" i="3"/>
  <c r="E49" i="3" a="1"/>
  <c r="E49" i="3"/>
  <c r="E50" i="3" a="1"/>
  <c r="E50" i="3"/>
  <c r="E51" i="3" a="1"/>
  <c r="E51" i="3"/>
  <c r="E52" i="3" a="1"/>
  <c r="E52" i="3"/>
  <c r="E53" i="3" a="1"/>
  <c r="E53" i="3"/>
  <c r="E54" i="3" a="1"/>
  <c r="E54" i="3"/>
  <c r="E55" i="3" a="1"/>
  <c r="E55" i="3"/>
  <c r="E56" i="3" a="1"/>
  <c r="E56" i="3"/>
  <c r="E57" i="3" a="1"/>
  <c r="E57" i="3"/>
  <c r="E58" i="3" a="1"/>
  <c r="E58" i="3"/>
  <c r="E59" i="3" a="1"/>
  <c r="E59" i="3"/>
  <c r="E60" i="3" a="1"/>
  <c r="E60" i="3"/>
  <c r="E61" i="3" a="1"/>
  <c r="E61" i="3"/>
  <c r="E62" i="3" a="1"/>
  <c r="E62" i="3"/>
  <c r="E63" i="3" a="1"/>
  <c r="E63" i="3"/>
  <c r="E64" i="3" a="1"/>
  <c r="E64" i="3"/>
  <c r="E65" i="3" a="1"/>
  <c r="E65" i="3"/>
  <c r="E66" i="3" a="1"/>
  <c r="E66" i="3"/>
  <c r="E67" i="3" a="1"/>
  <c r="E67" i="3"/>
  <c r="E68" i="3" a="1"/>
  <c r="E68" i="3"/>
  <c r="E69" i="3" a="1"/>
  <c r="E69" i="3"/>
  <c r="E70" i="3" a="1"/>
  <c r="E70" i="3"/>
  <c r="E71" i="3" a="1"/>
  <c r="E71" i="3"/>
  <c r="E72" i="3" a="1"/>
  <c r="E72" i="3"/>
  <c r="E73" i="3" a="1"/>
  <c r="E73" i="3"/>
  <c r="E74" i="3" a="1"/>
  <c r="E74" i="3"/>
  <c r="E75" i="3" a="1"/>
  <c r="E75" i="3"/>
  <c r="E76" i="3" a="1"/>
  <c r="E76" i="3"/>
  <c r="E77" i="3" a="1"/>
  <c r="E77" i="3"/>
  <c r="E78" i="3" a="1"/>
  <c r="E78" i="3"/>
  <c r="E79" i="3" a="1"/>
  <c r="E79" i="3"/>
  <c r="E80" i="3" a="1"/>
  <c r="E80" i="3"/>
  <c r="E81" i="3" a="1"/>
  <c r="E81" i="3"/>
  <c r="E82" i="3" a="1"/>
  <c r="E82" i="3"/>
  <c r="E83" i="3" a="1"/>
  <c r="E83" i="3"/>
  <c r="E84" i="3" a="1"/>
  <c r="E84" i="3"/>
  <c r="E85" i="3" a="1"/>
  <c r="E85" i="3"/>
  <c r="E86" i="3" a="1"/>
  <c r="E86" i="3"/>
  <c r="E87" i="3" a="1"/>
  <c r="E87" i="3"/>
  <c r="E88" i="3" a="1"/>
  <c r="E88" i="3"/>
  <c r="E89" i="3" a="1"/>
  <c r="E89" i="3"/>
  <c r="E90" i="3" a="1"/>
  <c r="E90" i="3"/>
  <c r="E91" i="3" a="1"/>
  <c r="E91" i="3"/>
  <c r="E92" i="3" a="1"/>
  <c r="E92" i="3"/>
  <c r="E93" i="3" a="1"/>
  <c r="E93" i="3"/>
  <c r="E94" i="3" a="1"/>
  <c r="E94" i="3"/>
  <c r="E95" i="3" a="1"/>
  <c r="E95" i="3"/>
  <c r="E96" i="3" a="1"/>
  <c r="E96" i="3"/>
  <c r="E97" i="3" a="1"/>
  <c r="E97" i="3"/>
  <c r="E98" i="3" a="1"/>
  <c r="E98" i="3"/>
  <c r="E99" i="3" a="1"/>
  <c r="E99" i="3"/>
  <c r="E100" i="3" a="1"/>
  <c r="E100" i="3"/>
  <c r="E101" i="3" a="1"/>
  <c r="E101" i="3"/>
  <c r="E102" i="3" a="1"/>
  <c r="E102" i="3"/>
  <c r="E103" i="3" a="1"/>
  <c r="E103" i="3"/>
  <c r="E104" i="3" a="1"/>
  <c r="E104" i="3"/>
  <c r="E105" i="3" a="1"/>
  <c r="E105" i="3"/>
  <c r="E106" i="3" a="1"/>
  <c r="E106" i="3"/>
  <c r="E107" i="3" a="1"/>
  <c r="E107" i="3"/>
  <c r="E108" i="3" a="1"/>
  <c r="E108" i="3"/>
  <c r="E109" i="3" a="1"/>
  <c r="E109" i="3"/>
  <c r="E110" i="3" a="1"/>
  <c r="E110" i="3"/>
  <c r="E111" i="3" a="1"/>
  <c r="E111" i="3"/>
  <c r="E112" i="3" a="1"/>
  <c r="E112" i="3"/>
  <c r="E113" i="3" a="1"/>
  <c r="E113" i="3"/>
  <c r="E114" i="3" a="1"/>
  <c r="E114" i="3"/>
  <c r="E115" i="3" a="1"/>
  <c r="E115" i="3"/>
  <c r="E116" i="3" a="1"/>
  <c r="E116" i="3"/>
  <c r="E117" i="3" a="1"/>
  <c r="E117" i="3"/>
  <c r="E118" i="3" a="1"/>
  <c r="E118" i="3"/>
  <c r="E119" i="3" a="1"/>
  <c r="E119" i="3"/>
  <c r="E120" i="3" a="1"/>
  <c r="E120" i="3"/>
  <c r="E121" i="3" a="1"/>
  <c r="E121" i="3"/>
  <c r="E122" i="3" a="1"/>
  <c r="E122" i="3"/>
  <c r="E123" i="3" a="1"/>
  <c r="E123" i="3"/>
  <c r="E124" i="3" a="1"/>
  <c r="E124" i="3"/>
  <c r="E125" i="3" a="1"/>
  <c r="E125" i="3"/>
  <c r="E126" i="3" a="1"/>
  <c r="E126" i="3"/>
  <c r="E127" i="3" a="1"/>
  <c r="E127" i="3"/>
  <c r="E128" i="3" a="1"/>
  <c r="E128" i="3"/>
  <c r="E129" i="3" a="1"/>
  <c r="E129" i="3"/>
  <c r="E130" i="3" a="1"/>
  <c r="E130" i="3"/>
  <c r="E131" i="3" a="1"/>
  <c r="E131" i="3"/>
  <c r="E132" i="3" a="1"/>
  <c r="E132" i="3"/>
  <c r="E133" i="3" a="1"/>
  <c r="E133" i="3"/>
  <c r="E134" i="3" a="1"/>
  <c r="E134" i="3"/>
  <c r="E135" i="3" a="1"/>
  <c r="E135" i="3"/>
  <c r="E136" i="3" a="1"/>
  <c r="E136" i="3"/>
  <c r="E137" i="3" a="1"/>
  <c r="E137" i="3"/>
  <c r="E138" i="3" a="1"/>
  <c r="E138" i="3"/>
  <c r="E139" i="3" a="1"/>
  <c r="E139" i="3"/>
  <c r="E140" i="3" a="1"/>
  <c r="E140" i="3"/>
  <c r="E141" i="3" a="1"/>
  <c r="E141" i="3"/>
  <c r="E142" i="3" a="1"/>
  <c r="E142" i="3"/>
  <c r="E143" i="3" a="1"/>
  <c r="E143" i="3"/>
  <c r="E144" i="3" a="1"/>
  <c r="E144" i="3"/>
  <c r="E145" i="3" a="1"/>
  <c r="E145" i="3"/>
  <c r="E146" i="3" a="1"/>
  <c r="E146" i="3"/>
  <c r="E147" i="3" a="1"/>
  <c r="E147" i="3"/>
  <c r="E148" i="3" a="1"/>
  <c r="E148" i="3"/>
  <c r="E149" i="3" a="1"/>
  <c r="E149" i="3"/>
  <c r="E150" i="3" a="1"/>
  <c r="E150" i="3"/>
  <c r="E151" i="3" a="1"/>
  <c r="E151" i="3"/>
  <c r="E152" i="3" a="1"/>
  <c r="E152" i="3"/>
  <c r="E153" i="3" a="1"/>
  <c r="E153" i="3"/>
  <c r="E154" i="3" a="1"/>
  <c r="E154" i="3"/>
  <c r="E155" i="3" a="1"/>
  <c r="E155" i="3"/>
  <c r="E156" i="3" a="1"/>
  <c r="E156" i="3"/>
  <c r="E157" i="3" a="1"/>
  <c r="E157" i="3"/>
  <c r="E158" i="3" a="1"/>
  <c r="E158" i="3"/>
  <c r="E159" i="3" a="1"/>
  <c r="E159" i="3"/>
  <c r="E160" i="3" a="1"/>
  <c r="E160" i="3"/>
  <c r="E161" i="3" a="1"/>
  <c r="E161" i="3"/>
  <c r="E162" i="3" a="1"/>
  <c r="E162" i="3"/>
  <c r="E163" i="3" a="1"/>
  <c r="E163" i="3"/>
  <c r="E164" i="3" a="1"/>
  <c r="E164" i="3"/>
  <c r="E165" i="3" a="1"/>
  <c r="E165" i="3"/>
  <c r="E166" i="3" a="1"/>
  <c r="E166" i="3"/>
  <c r="E167" i="3" a="1"/>
  <c r="E167" i="3"/>
  <c r="E168" i="3" a="1"/>
  <c r="E168" i="3"/>
  <c r="E169" i="3" a="1"/>
  <c r="E169" i="3"/>
  <c r="E170" i="3" a="1"/>
  <c r="E170" i="3"/>
  <c r="E171" i="3" a="1"/>
  <c r="E171" i="3"/>
  <c r="E172" i="3" a="1"/>
  <c r="E172" i="3"/>
  <c r="E173" i="3" a="1"/>
  <c r="E173" i="3"/>
  <c r="E174" i="3" a="1"/>
  <c r="E174" i="3"/>
  <c r="E175" i="3" a="1"/>
  <c r="E175" i="3"/>
  <c r="E176" i="3" a="1"/>
  <c r="E176" i="3"/>
  <c r="E177" i="3" a="1"/>
  <c r="E177" i="3"/>
  <c r="E178" i="3" a="1"/>
  <c r="E178" i="3"/>
  <c r="E179" i="3" a="1"/>
  <c r="E179" i="3"/>
  <c r="E180" i="3" a="1"/>
  <c r="E180" i="3"/>
  <c r="E181" i="3" a="1"/>
  <c r="E181" i="3"/>
  <c r="E182" i="3" a="1"/>
  <c r="E182" i="3"/>
  <c r="E183" i="3" a="1"/>
  <c r="E183" i="3"/>
  <c r="E184" i="3" a="1"/>
  <c r="E184" i="3"/>
  <c r="E185" i="3" a="1"/>
  <c r="E185" i="3"/>
  <c r="E186" i="3" a="1"/>
  <c r="E186" i="3"/>
  <c r="E187" i="3" a="1"/>
  <c r="E187" i="3"/>
  <c r="E188" i="3" a="1"/>
  <c r="E188" i="3"/>
  <c r="E189" i="3" a="1"/>
  <c r="E189" i="3"/>
  <c r="E190" i="3" a="1"/>
  <c r="E190" i="3"/>
  <c r="E191" i="3" a="1"/>
  <c r="E191" i="3"/>
  <c r="E192" i="3" a="1"/>
  <c r="E192" i="3"/>
  <c r="E193" i="3" a="1"/>
  <c r="E193" i="3"/>
  <c r="E194" i="3" a="1"/>
  <c r="E194" i="3"/>
  <c r="E195" i="3" a="1"/>
  <c r="E195" i="3"/>
  <c r="E196" i="3" a="1"/>
  <c r="E196" i="3"/>
  <c r="E197" i="3" a="1"/>
  <c r="E197" i="3"/>
  <c r="E198" i="3" a="1"/>
  <c r="E198" i="3"/>
  <c r="E199" i="3" a="1"/>
  <c r="E199" i="3"/>
  <c r="E200" i="3" a="1"/>
  <c r="E200" i="3"/>
  <c r="E201" i="3" a="1"/>
  <c r="E201" i="3"/>
  <c r="E202" i="3" a="1"/>
  <c r="E202" i="3"/>
  <c r="E203" i="3" a="1"/>
  <c r="E203" i="3"/>
  <c r="E204" i="3" a="1"/>
  <c r="E204" i="3"/>
  <c r="E205" i="3" a="1"/>
  <c r="E205" i="3"/>
  <c r="E206" i="3" a="1"/>
  <c r="E206" i="3"/>
  <c r="E207" i="3" a="1"/>
  <c r="E207" i="3"/>
  <c r="E208" i="3" a="1"/>
  <c r="E208" i="3"/>
  <c r="E209" i="3" a="1"/>
  <c r="E209" i="3"/>
  <c r="E210" i="3" a="1"/>
  <c r="E210" i="3"/>
  <c r="E211" i="3" a="1"/>
  <c r="E211" i="3"/>
  <c r="E212" i="3" a="1"/>
  <c r="E212" i="3"/>
  <c r="E213" i="3" a="1"/>
  <c r="E213" i="3"/>
  <c r="E214" i="3" a="1"/>
  <c r="E214" i="3"/>
  <c r="E215" i="3" a="1"/>
  <c r="E215" i="3"/>
  <c r="E216" i="3" a="1"/>
  <c r="E216" i="3"/>
  <c r="E217" i="3" a="1"/>
  <c r="E217" i="3"/>
  <c r="E218" i="3" a="1"/>
  <c r="E218" i="3"/>
  <c r="E219" i="3" a="1"/>
  <c r="E219" i="3"/>
  <c r="E220" i="3" a="1"/>
  <c r="E220" i="3"/>
  <c r="E221" i="3" a="1"/>
  <c r="E221" i="3"/>
  <c r="E222" i="3" a="1"/>
  <c r="E222" i="3"/>
  <c r="E223" i="3" a="1"/>
  <c r="E223" i="3"/>
  <c r="E224" i="3" a="1"/>
  <c r="E224" i="3"/>
  <c r="E225" i="3" a="1"/>
  <c r="E225" i="3"/>
  <c r="E226" i="3" a="1"/>
  <c r="E226" i="3"/>
  <c r="E227" i="3" a="1"/>
  <c r="E227" i="3"/>
  <c r="E228" i="3" a="1"/>
  <c r="E228" i="3"/>
  <c r="E229" i="3" a="1"/>
  <c r="E229" i="3"/>
  <c r="E230" i="3" a="1"/>
  <c r="E230" i="3"/>
  <c r="E231" i="3" a="1"/>
  <c r="E231" i="3"/>
  <c r="E232" i="3" a="1"/>
  <c r="E232" i="3"/>
  <c r="E233" i="3" a="1"/>
  <c r="E233" i="3"/>
  <c r="E234" i="3" a="1"/>
  <c r="E234" i="3"/>
  <c r="E235" i="3" a="1"/>
  <c r="E235" i="3"/>
  <c r="E236" i="3" a="1"/>
  <c r="E236" i="3"/>
  <c r="E237" i="3" a="1"/>
  <c r="E237" i="3"/>
  <c r="E238" i="3" a="1"/>
  <c r="E238" i="3"/>
  <c r="E239" i="3" a="1"/>
  <c r="E239" i="3"/>
  <c r="E240" i="3" a="1"/>
  <c r="E240" i="3"/>
  <c r="E241" i="3" a="1"/>
  <c r="E241" i="3"/>
  <c r="E242" i="3" a="1"/>
  <c r="E242" i="3"/>
  <c r="E243" i="3" a="1"/>
  <c r="E243" i="3"/>
  <c r="E244" i="3" a="1"/>
  <c r="E244" i="3"/>
  <c r="E245" i="3" a="1"/>
  <c r="E245" i="3"/>
  <c r="E246" i="3" a="1"/>
  <c r="E246" i="3"/>
  <c r="E247" i="3" a="1"/>
  <c r="E247" i="3"/>
  <c r="E248" i="3" a="1"/>
  <c r="E248" i="3"/>
  <c r="E249" i="3" a="1"/>
  <c r="E249" i="3"/>
  <c r="E250" i="3" a="1"/>
  <c r="E250" i="3"/>
  <c r="E251" i="3" a="1"/>
  <c r="E251" i="3"/>
  <c r="E252" i="3" a="1"/>
  <c r="E252" i="3"/>
  <c r="E253" i="3" a="1"/>
  <c r="E253" i="3"/>
  <c r="E254" i="3" a="1"/>
  <c r="E254" i="3"/>
  <c r="E255" i="3" a="1"/>
  <c r="E255" i="3"/>
  <c r="E256" i="3" a="1"/>
  <c r="E256" i="3"/>
  <c r="E257" i="3" a="1"/>
  <c r="E257" i="3"/>
  <c r="E258" i="3" a="1"/>
  <c r="E258" i="3"/>
  <c r="E259" i="3" a="1"/>
  <c r="E259" i="3"/>
  <c r="E260" i="3" a="1"/>
  <c r="E260" i="3"/>
  <c r="E261" i="3" a="1"/>
  <c r="E261" i="3"/>
  <c r="E262" i="3" a="1"/>
  <c r="E262" i="3"/>
  <c r="E263" i="3" a="1"/>
  <c r="E263" i="3"/>
  <c r="E264" i="3" a="1"/>
  <c r="E264" i="3"/>
  <c r="E265" i="3" a="1"/>
  <c r="E265" i="3"/>
  <c r="E266" i="3" a="1"/>
  <c r="E266" i="3"/>
  <c r="E267" i="3" a="1"/>
  <c r="E267" i="3"/>
  <c r="E268" i="3" a="1"/>
  <c r="E268" i="3"/>
  <c r="E269" i="3" a="1"/>
  <c r="E269" i="3"/>
  <c r="E270" i="3" a="1"/>
  <c r="E270" i="3"/>
  <c r="E271" i="3" a="1"/>
  <c r="E271" i="3"/>
  <c r="E272" i="3" a="1"/>
  <c r="E272" i="3"/>
  <c r="E273" i="3" a="1"/>
  <c r="E273" i="3"/>
  <c r="E274" i="3" a="1"/>
  <c r="E274" i="3"/>
  <c r="E275" i="3" a="1"/>
  <c r="E275" i="3"/>
  <c r="E276" i="3" a="1"/>
  <c r="E276" i="3"/>
  <c r="E277" i="3" a="1"/>
  <c r="E277" i="3"/>
  <c r="E278" i="3" a="1"/>
  <c r="E278" i="3"/>
  <c r="E279" i="3" a="1"/>
  <c r="E279" i="3"/>
  <c r="E280" i="3" a="1"/>
  <c r="E280" i="3"/>
  <c r="E281" i="3" a="1"/>
  <c r="E281" i="3"/>
  <c r="E282" i="3" a="1"/>
  <c r="E282" i="3"/>
  <c r="E283" i="3" a="1"/>
  <c r="E283" i="3"/>
  <c r="E284" i="3" a="1"/>
  <c r="E284" i="3"/>
  <c r="E285" i="3" a="1"/>
  <c r="E285" i="3"/>
  <c r="E286" i="3" a="1"/>
  <c r="E286" i="3"/>
  <c r="E287" i="3" a="1"/>
  <c r="E287" i="3"/>
  <c r="E288" i="3" a="1"/>
  <c r="E288" i="3"/>
  <c r="E289" i="3" a="1"/>
  <c r="E289" i="3"/>
  <c r="E290" i="3" a="1"/>
  <c r="E290" i="3"/>
  <c r="E291" i="3" a="1"/>
  <c r="E291" i="3"/>
  <c r="E292" i="3" a="1"/>
  <c r="E292" i="3"/>
  <c r="E293" i="3" a="1"/>
  <c r="E293" i="3"/>
  <c r="E294" i="3" a="1"/>
  <c r="E294" i="3"/>
  <c r="E295" i="3" a="1"/>
  <c r="E295" i="3"/>
  <c r="E296" i="3" a="1"/>
  <c r="E296" i="3"/>
  <c r="E297" i="3" a="1"/>
  <c r="E297" i="3"/>
  <c r="E298" i="3" a="1"/>
  <c r="E298" i="3"/>
  <c r="E299" i="3" a="1"/>
  <c r="E299" i="3"/>
  <c r="E300" i="3" a="1"/>
  <c r="E300" i="3"/>
  <c r="E301" i="3" a="1"/>
  <c r="E301" i="3"/>
  <c r="E302" i="3" a="1"/>
  <c r="E302" i="3"/>
  <c r="E303" i="3" a="1"/>
  <c r="E303" i="3"/>
  <c r="E304" i="3" a="1"/>
  <c r="E304" i="3"/>
  <c r="E305" i="3" a="1"/>
  <c r="E305" i="3"/>
  <c r="E306" i="3" a="1"/>
  <c r="E306" i="3"/>
  <c r="E307" i="3" a="1"/>
  <c r="E307" i="3"/>
  <c r="E308" i="3" a="1"/>
  <c r="E308" i="3"/>
  <c r="E309" i="3" a="1"/>
  <c r="E309" i="3"/>
  <c r="E310" i="3" a="1"/>
  <c r="E310" i="3"/>
  <c r="E311" i="3" a="1"/>
  <c r="E311" i="3"/>
  <c r="E312" i="3" a="1"/>
  <c r="E312" i="3"/>
  <c r="E313" i="3" a="1"/>
  <c r="E313" i="3"/>
  <c r="E314" i="3" a="1"/>
  <c r="E314" i="3"/>
  <c r="E315" i="3" a="1"/>
  <c r="E315" i="3"/>
  <c r="E316" i="3" a="1"/>
  <c r="E316" i="3"/>
  <c r="E317" i="3" a="1"/>
  <c r="E317" i="3"/>
  <c r="E318" i="3" a="1"/>
  <c r="E318" i="3"/>
  <c r="E319" i="3" a="1"/>
  <c r="E319" i="3"/>
  <c r="E320" i="3" a="1"/>
  <c r="E320" i="3"/>
  <c r="E321" i="3" a="1"/>
  <c r="E321" i="3"/>
  <c r="E322" i="3" a="1"/>
  <c r="E322" i="3"/>
  <c r="E323" i="3" a="1"/>
  <c r="E323" i="3"/>
  <c r="E324" i="3" a="1"/>
  <c r="E324" i="3"/>
  <c r="E325" i="3" a="1"/>
  <c r="E325" i="3"/>
  <c r="E326" i="3" a="1"/>
  <c r="E326" i="3"/>
  <c r="E327" i="3" a="1"/>
  <c r="E327" i="3"/>
  <c r="E328" i="3" a="1"/>
  <c r="E328" i="3"/>
  <c r="E329" i="3" a="1"/>
  <c r="E329" i="3"/>
  <c r="E330" i="3" a="1"/>
  <c r="E330" i="3"/>
  <c r="E331" i="3" a="1"/>
  <c r="E331" i="3"/>
  <c r="E332" i="3" a="1"/>
  <c r="E332" i="3"/>
  <c r="E333" i="3" a="1"/>
  <c r="E333" i="3"/>
  <c r="E334" i="3" a="1"/>
  <c r="E334" i="3"/>
  <c r="E335" i="3" a="1"/>
  <c r="E335" i="3"/>
  <c r="E336" i="3" a="1"/>
  <c r="E336" i="3"/>
  <c r="E337" i="3" a="1"/>
  <c r="E337" i="3"/>
  <c r="E338" i="3" a="1"/>
  <c r="E338" i="3"/>
  <c r="E339" i="3" a="1"/>
  <c r="E339" i="3"/>
  <c r="E340" i="3" a="1"/>
  <c r="E340" i="3"/>
  <c r="E341" i="3" a="1"/>
  <c r="E341" i="3"/>
  <c r="E342" i="3" a="1"/>
  <c r="E342" i="3"/>
  <c r="E343" i="3" a="1"/>
  <c r="E343" i="3"/>
  <c r="E344" i="3" a="1"/>
  <c r="E344" i="3"/>
  <c r="E345" i="3" a="1"/>
  <c r="E345" i="3"/>
  <c r="E346" i="3" a="1"/>
  <c r="E346" i="3"/>
  <c r="E347" i="3" a="1"/>
  <c r="E347" i="3"/>
  <c r="E348" i="3" a="1"/>
  <c r="E348" i="3"/>
  <c r="E349" i="3" a="1"/>
  <c r="E349" i="3"/>
  <c r="E350" i="3" a="1"/>
  <c r="E350" i="3"/>
  <c r="E351" i="3" a="1"/>
  <c r="E351" i="3"/>
  <c r="J14" i="4"/>
  <c r="J13" i="4"/>
  <c r="J1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2C56D9-9391-4220-B2D9-A9FFFB37375D}" keepAlive="1" name="Query - data_quarterly_yoy_growth" description="Connection to the 'data_quarterly_yoy_growth' query in the workbook." type="5" refreshedVersion="8" background="1" saveData="1">
    <dbPr connection="Provider=Microsoft.Mashup.OleDb.1;Data Source=$Workbook$;Location=data_quarterly_yoy_growth;Extended Properties=&quot;&quot;" command="SELECT * FROM [data_quarterly_yoy_growth]"/>
  </connection>
  <connection id="2" xr16:uid="{F9BF3FC4-50D4-41BB-8F8C-A740DF6E1FAA}" keepAlive="1" name="Query - economy_score" description="Connection to the 'economy_score' query in the workbook." type="5" refreshedVersion="8" background="1" saveData="1">
    <dbPr connection="Provider=Microsoft.Mashup.OleDb.1;Data Source=$Workbook$;Location=economy_score;Extended Properties=&quot;&quot;" command="SELECT * FROM [economy_scor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<sst xmlns="http://schemas.openxmlformats.org/spreadsheetml/2006/main" count="7194" uniqueCount="417">
  <si>
    <t>series_key</t>
  </si>
  <si>
    <t>indicator_name</t>
  </si>
  <si>
    <t>quarter_start</t>
  </si>
  <si>
    <t>quarter_label</t>
  </si>
  <si>
    <t>yoy_growth_rate</t>
  </si>
  <si>
    <t>1</t>
  </si>
  <si>
    <t>Real GDP</t>
  </si>
  <si>
    <t>Q1 1947</t>
  </si>
  <si>
    <t>Q2 1947</t>
  </si>
  <si>
    <t>Q3 1947</t>
  </si>
  <si>
    <t>Q4 1947</t>
  </si>
  <si>
    <t>Q1 1948</t>
  </si>
  <si>
    <t>Q2 1948</t>
  </si>
  <si>
    <t>Q3 1948</t>
  </si>
  <si>
    <t>Q4 1948</t>
  </si>
  <si>
    <t>Q1 1949</t>
  </si>
  <si>
    <t>Q2 1949</t>
  </si>
  <si>
    <t>Q3 1949</t>
  </si>
  <si>
    <t>Q4 1949</t>
  </si>
  <si>
    <t>Q1 1950</t>
  </si>
  <si>
    <t>Q2 1950</t>
  </si>
  <si>
    <t>Q3 1950</t>
  </si>
  <si>
    <t>Q4 1950</t>
  </si>
  <si>
    <t>Q1 1951</t>
  </si>
  <si>
    <t>Q2 1951</t>
  </si>
  <si>
    <t>Q3 1951</t>
  </si>
  <si>
    <t>Q4 1951</t>
  </si>
  <si>
    <t>Q1 1952</t>
  </si>
  <si>
    <t>Q2 1952</t>
  </si>
  <si>
    <t>Q3 1952</t>
  </si>
  <si>
    <t>Q4 1952</t>
  </si>
  <si>
    <t>Q1 1953</t>
  </si>
  <si>
    <t>Q2 1953</t>
  </si>
  <si>
    <t>Q3 1953</t>
  </si>
  <si>
    <t>Q4 1953</t>
  </si>
  <si>
    <t>Q1 1954</t>
  </si>
  <si>
    <t>Q2 1954</t>
  </si>
  <si>
    <t>Q3 1954</t>
  </si>
  <si>
    <t>Q4 1954</t>
  </si>
  <si>
    <t>Q1 1955</t>
  </si>
  <si>
    <t>Q2 1955</t>
  </si>
  <si>
    <t>Q3 1955</t>
  </si>
  <si>
    <t>Q4 1955</t>
  </si>
  <si>
    <t>Q1 1956</t>
  </si>
  <si>
    <t>Q2 1956</t>
  </si>
  <si>
    <t>Q3 1956</t>
  </si>
  <si>
    <t>Q4 1956</t>
  </si>
  <si>
    <t>Q1 1957</t>
  </si>
  <si>
    <t>Q2 1957</t>
  </si>
  <si>
    <t>Q3 1957</t>
  </si>
  <si>
    <t>Q4 1957</t>
  </si>
  <si>
    <t>Q1 1958</t>
  </si>
  <si>
    <t>Q2 1958</t>
  </si>
  <si>
    <t>Q3 1958</t>
  </si>
  <si>
    <t>Q4 1958</t>
  </si>
  <si>
    <t>Q1 1959</t>
  </si>
  <si>
    <t>Q2 1959</t>
  </si>
  <si>
    <t>Q3 1959</t>
  </si>
  <si>
    <t>Q4 1959</t>
  </si>
  <si>
    <t>Q1 1960</t>
  </si>
  <si>
    <t>Q2 1960</t>
  </si>
  <si>
    <t>Q3 1960</t>
  </si>
  <si>
    <t>Q4 1960</t>
  </si>
  <si>
    <t>Q1 1961</t>
  </si>
  <si>
    <t>Q2 1961</t>
  </si>
  <si>
    <t>Q3 1961</t>
  </si>
  <si>
    <t>Q4 1961</t>
  </si>
  <si>
    <t>Q1 1962</t>
  </si>
  <si>
    <t>Q2 1962</t>
  </si>
  <si>
    <t>Q3 1962</t>
  </si>
  <si>
    <t>Q4 1962</t>
  </si>
  <si>
    <t>Q1 1963</t>
  </si>
  <si>
    <t>Q2 1963</t>
  </si>
  <si>
    <t>Q3 1963</t>
  </si>
  <si>
    <t>Q4 1963</t>
  </si>
  <si>
    <t>Q1 1964</t>
  </si>
  <si>
    <t>Q2 1964</t>
  </si>
  <si>
    <t>Q3 1964</t>
  </si>
  <si>
    <t>Q4 1964</t>
  </si>
  <si>
    <t>Q1 1965</t>
  </si>
  <si>
    <t>Q2 1965</t>
  </si>
  <si>
    <t>Q3 1965</t>
  </si>
  <si>
    <t>Q4 1965</t>
  </si>
  <si>
    <t>Q1 1966</t>
  </si>
  <si>
    <t>Q2 1966</t>
  </si>
  <si>
    <t>Q3 1966</t>
  </si>
  <si>
    <t>Q4 1966</t>
  </si>
  <si>
    <t>Q1 1967</t>
  </si>
  <si>
    <t>Q2 1967</t>
  </si>
  <si>
    <t>Q3 1967</t>
  </si>
  <si>
    <t>Q4 1967</t>
  </si>
  <si>
    <t>Q1 1968</t>
  </si>
  <si>
    <t>Q2 1968</t>
  </si>
  <si>
    <t>Q3 1968</t>
  </si>
  <si>
    <t>Q4 1968</t>
  </si>
  <si>
    <t>Q1 1969</t>
  </si>
  <si>
    <t>Q2 1969</t>
  </si>
  <si>
    <t>Q3 1969</t>
  </si>
  <si>
    <t>Q4 1969</t>
  </si>
  <si>
    <t>Q1 1970</t>
  </si>
  <si>
    <t>Q2 1970</t>
  </si>
  <si>
    <t>Q3 1970</t>
  </si>
  <si>
    <t>Q4 1970</t>
  </si>
  <si>
    <t>Q1 1971</t>
  </si>
  <si>
    <t>Q2 1971</t>
  </si>
  <si>
    <t>Q3 1971</t>
  </si>
  <si>
    <t>Q4 1971</t>
  </si>
  <si>
    <t>Q1 1972</t>
  </si>
  <si>
    <t>Q2 1972</t>
  </si>
  <si>
    <t>Q3 1972</t>
  </si>
  <si>
    <t>Q4 1972</t>
  </si>
  <si>
    <t>Q1 1973</t>
  </si>
  <si>
    <t>Q2 1973</t>
  </si>
  <si>
    <t>Q3 1973</t>
  </si>
  <si>
    <t>Q4 1973</t>
  </si>
  <si>
    <t>Q1 1974</t>
  </si>
  <si>
    <t>Q2 1974</t>
  </si>
  <si>
    <t>Q3 1974</t>
  </si>
  <si>
    <t>Q4 1974</t>
  </si>
  <si>
    <t>Q1 1975</t>
  </si>
  <si>
    <t>Q2 1975</t>
  </si>
  <si>
    <t>Q3 1975</t>
  </si>
  <si>
    <t>Q4 1975</t>
  </si>
  <si>
    <t>Q1 1976</t>
  </si>
  <si>
    <t>Q2 1976</t>
  </si>
  <si>
    <t>Q3 1976</t>
  </si>
  <si>
    <t>Q4 1976</t>
  </si>
  <si>
    <t>Q1 1977</t>
  </si>
  <si>
    <t>Q2 1977</t>
  </si>
  <si>
    <t>Q3 1977</t>
  </si>
  <si>
    <t>Q4 1977</t>
  </si>
  <si>
    <t>Q1 1978</t>
  </si>
  <si>
    <t>Q2 1978</t>
  </si>
  <si>
    <t>Q3 1978</t>
  </si>
  <si>
    <t>Q4 1978</t>
  </si>
  <si>
    <t>Q1 1979</t>
  </si>
  <si>
    <t>Q2 1979</t>
  </si>
  <si>
    <t>Q3 1979</t>
  </si>
  <si>
    <t>Q4 1979</t>
  </si>
  <si>
    <t>Q1 1980</t>
  </si>
  <si>
    <t>Q2 1980</t>
  </si>
  <si>
    <t>Q3 1980</t>
  </si>
  <si>
    <t>Q4 1980</t>
  </si>
  <si>
    <t>Q1 1981</t>
  </si>
  <si>
    <t>Q2 1981</t>
  </si>
  <si>
    <t>Q3 1981</t>
  </si>
  <si>
    <t>Q4 1981</t>
  </si>
  <si>
    <t>Q1 1982</t>
  </si>
  <si>
    <t>Q2 1982</t>
  </si>
  <si>
    <t>Q3 1982</t>
  </si>
  <si>
    <t>Q4 1982</t>
  </si>
  <si>
    <t>Q1 1983</t>
  </si>
  <si>
    <t>Q2 1983</t>
  </si>
  <si>
    <t>Q3 1983</t>
  </si>
  <si>
    <t>Q4 1983</t>
  </si>
  <si>
    <t>Q1 1984</t>
  </si>
  <si>
    <t>Q2 1984</t>
  </si>
  <si>
    <t>Q3 1984</t>
  </si>
  <si>
    <t>Q4 1984</t>
  </si>
  <si>
    <t>Q1 1985</t>
  </si>
  <si>
    <t>Q2 1985</t>
  </si>
  <si>
    <t>Q3 1985</t>
  </si>
  <si>
    <t>Q4 1985</t>
  </si>
  <si>
    <t>Q1 1986</t>
  </si>
  <si>
    <t>Q2 1986</t>
  </si>
  <si>
    <t>Q3 1986</t>
  </si>
  <si>
    <t>Q4 1986</t>
  </si>
  <si>
    <t>Q1 1987</t>
  </si>
  <si>
    <t>Q2 1987</t>
  </si>
  <si>
    <t>Q3 1987</t>
  </si>
  <si>
    <t>Q4 1987</t>
  </si>
  <si>
    <t>Q1 1988</t>
  </si>
  <si>
    <t>Q2 1988</t>
  </si>
  <si>
    <t>Q3 1988</t>
  </si>
  <si>
    <t>Q4 1988</t>
  </si>
  <si>
    <t>Q1 1989</t>
  </si>
  <si>
    <t>Q2 1989</t>
  </si>
  <si>
    <t>Q3 1989</t>
  </si>
  <si>
    <t>Q4 1989</t>
  </si>
  <si>
    <t>Q1 1990</t>
  </si>
  <si>
    <t>Q2 1990</t>
  </si>
  <si>
    <t>Q3 1990</t>
  </si>
  <si>
    <t>Q4 1990</t>
  </si>
  <si>
    <t>Q1 1991</t>
  </si>
  <si>
    <t>Q2 1991</t>
  </si>
  <si>
    <t>Q3 1991</t>
  </si>
  <si>
    <t>Q4 1991</t>
  </si>
  <si>
    <t>Q1 1992</t>
  </si>
  <si>
    <t>Q2 1992</t>
  </si>
  <si>
    <t>Q3 1992</t>
  </si>
  <si>
    <t>Q4 1992</t>
  </si>
  <si>
    <t>Q1 1993</t>
  </si>
  <si>
    <t>Q2 1993</t>
  </si>
  <si>
    <t>Q3 1993</t>
  </si>
  <si>
    <t>Q4 1993</t>
  </si>
  <si>
    <t>Q1 1994</t>
  </si>
  <si>
    <t>Q2 1994</t>
  </si>
  <si>
    <t>Q3 1994</t>
  </si>
  <si>
    <t>Q4 1994</t>
  </si>
  <si>
    <t>Q1 1995</t>
  </si>
  <si>
    <t>Q2 1995</t>
  </si>
  <si>
    <t>Q3 1995</t>
  </si>
  <si>
    <t>Q4 1995</t>
  </si>
  <si>
    <t>Q1 1996</t>
  </si>
  <si>
    <t>Q2 1996</t>
  </si>
  <si>
    <t>Q3 1996</t>
  </si>
  <si>
    <t>Q4 1996</t>
  </si>
  <si>
    <t>Q1 1997</t>
  </si>
  <si>
    <t>Q2 1997</t>
  </si>
  <si>
    <t>Q3 1997</t>
  </si>
  <si>
    <t>Q4 1997</t>
  </si>
  <si>
    <t>Q1 1998</t>
  </si>
  <si>
    <t>Q2 1998</t>
  </si>
  <si>
    <t>Q3 1998</t>
  </si>
  <si>
    <t>Q4 1998</t>
  </si>
  <si>
    <t>Q1 1999</t>
  </si>
  <si>
    <t>Q2 1999</t>
  </si>
  <si>
    <t>Q3 1999</t>
  </si>
  <si>
    <t>Q4 1999</t>
  </si>
  <si>
    <t>Q1 2000</t>
  </si>
  <si>
    <t>Q2 2000</t>
  </si>
  <si>
    <t>Q3 2000</t>
  </si>
  <si>
    <t>Q4 2000</t>
  </si>
  <si>
    <t>Q1 2001</t>
  </si>
  <si>
    <t>Q2 2001</t>
  </si>
  <si>
    <t>Q3 2001</t>
  </si>
  <si>
    <t>Q4 2001</t>
  </si>
  <si>
    <t>Q1 2002</t>
  </si>
  <si>
    <t>Q2 2002</t>
  </si>
  <si>
    <t>Q3 2002</t>
  </si>
  <si>
    <t>Q4 2002</t>
  </si>
  <si>
    <t>Q1 2003</t>
  </si>
  <si>
    <t>Q2 2003</t>
  </si>
  <si>
    <t>Q3 2003</t>
  </si>
  <si>
    <t>Q4 2003</t>
  </si>
  <si>
    <t>Q1 2004</t>
  </si>
  <si>
    <t>Q2 2004</t>
  </si>
  <si>
    <t>Q3 2004</t>
  </si>
  <si>
    <t>Q4 2004</t>
  </si>
  <si>
    <t>Q1 2005</t>
  </si>
  <si>
    <t>Q2 2005</t>
  </si>
  <si>
    <t>Q3 2005</t>
  </si>
  <si>
    <t>Q4 2005</t>
  </si>
  <si>
    <t>Q1 2006</t>
  </si>
  <si>
    <t>Q2 2006</t>
  </si>
  <si>
    <t>Q3 2006</t>
  </si>
  <si>
    <t>Q4 2006</t>
  </si>
  <si>
    <t>Q1 2007</t>
  </si>
  <si>
    <t>Q2 2007</t>
  </si>
  <si>
    <t>Q3 2007</t>
  </si>
  <si>
    <t>Q4 2007</t>
  </si>
  <si>
    <t>Q1 2008</t>
  </si>
  <si>
    <t>Q2 2008</t>
  </si>
  <si>
    <t>Q3 2008</t>
  </si>
  <si>
    <t>Q4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</si>
  <si>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</si>
  <si>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</si>
  <si>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</si>
  <si>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</si>
  <si>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</si>
  <si>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</si>
  <si>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</si>
  <si>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</si>
  <si>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</si>
  <si>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</si>
  <si>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</si>
  <si>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</si>
  <si>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</si>
  <si>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</si>
  <si>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</si>
  <si>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</si>
  <si>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</si>
  <si>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</si>
  <si>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</si>
  <si>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</si>
  <si>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</si>
  <si>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</si>
  <si>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</si>
  <si>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</si>
  <si>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</si>
  <si>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</si>
  <si>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</si>
  <si>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</si>
  <si>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</si>
  <si>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</si>
  <si>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</si>
  <si>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</si>
  <si>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</si>
  <si>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</si>
  <si>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</si>
  <si>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</si>
  <si>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</si>
  <si>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</si>
  <si>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</si>
  <si>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</si>
  <si>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</si>
  <si>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</si>
  <si>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</si>
  <si>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</si>
  <si>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</si>
  <si>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</si>
  <si>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</si>
  <si>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</si>
  <si>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</si>
  <si>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</si>
  <si>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</si>
  <si>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</si>
  <si>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</si>
  <si>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</si>
  <si>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</si>
  <si>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</si>
  <si>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</si>
  <si>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</si>
  <si>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</si>
  <si>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</si>
  <si>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</si>
  <si>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</si>
  <si>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</si>
  <si>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</si>
  <si>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</si>
  <si>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</si>
  <si>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</si>
  <si>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</si>
  <si>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</si>
  <si>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</si>
  <si>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2</t>
  </si>
  <si>
    <t>Core CPI</t>
  </si>
  <si>
    <t>3</t>
  </si>
  <si>
    <t>Core PPI (finished goods)</t>
  </si>
  <si>
    <t>4</t>
  </si>
  <si>
    <t>Federal funds rate</t>
  </si>
  <si>
    <t>5</t>
  </si>
  <si>
    <t>Retail sales</t>
  </si>
  <si>
    <t>6</t>
  </si>
  <si>
    <t>Trade balance</t>
  </si>
  <si>
    <t>7</t>
  </si>
  <si>
    <t>Consumer sentiment</t>
  </si>
  <si>
    <t>8</t>
  </si>
  <si>
    <t>Nonfarm payrolls</t>
  </si>
  <si>
    <t>Q1 1939</t>
  </si>
  <si>
    <t>Q2 1939</t>
  </si>
  <si>
    <t>Q3 1939</t>
  </si>
  <si>
    <t>Q4 1939</t>
  </si>
  <si>
    <t>Q1 1940</t>
  </si>
  <si>
    <t>Q2 1940</t>
  </si>
  <si>
    <t>Q3 1940</t>
  </si>
  <si>
    <t>Q4 1940</t>
  </si>
  <si>
    <t>Q1 1941</t>
  </si>
  <si>
    <t>Q2 1941</t>
  </si>
  <si>
    <t>Q3 1941</t>
  </si>
  <si>
    <t>Q4 1941</t>
  </si>
  <si>
    <t>Q1 1942</t>
  </si>
  <si>
    <t>Q2 1942</t>
  </si>
  <si>
    <t>Q3 1942</t>
  </si>
  <si>
    <t>Q4 1942</t>
  </si>
  <si>
    <t>Q1 1943</t>
  </si>
  <si>
    <t>Q2 1943</t>
  </si>
  <si>
    <t>Q3 1943</t>
  </si>
  <si>
    <t>Q4 1943</t>
  </si>
  <si>
    <t>Q1 1944</t>
  </si>
  <si>
    <t>Q2 1944</t>
  </si>
  <si>
    <t>Q3 1944</t>
  </si>
  <si>
    <t>Q4 1944</t>
  </si>
  <si>
    <t>Q1 1945</t>
  </si>
  <si>
    <t>Q2 1945</t>
  </si>
  <si>
    <t>Q3 1945</t>
  </si>
  <si>
    <t>Q4 1945</t>
  </si>
  <si>
    <t>Q1 1946</t>
  </si>
  <si>
    <t>Q2 1946</t>
  </si>
  <si>
    <t>Q3 1946</t>
  </si>
  <si>
    <t>Q4 1946</t>
  </si>
  <si>
    <t>9</t>
  </si>
  <si>
    <t>Unemployment rate</t>
  </si>
  <si>
    <t>economic_score</t>
  </si>
  <si>
    <t>indicator_used</t>
  </si>
  <si>
    <t>Row Labels</t>
  </si>
  <si>
    <t>Grand Total</t>
  </si>
  <si>
    <t xml:space="preserve"> economic_score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</si>
  <si>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</si>
  <si>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</si>
  <si>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</si>
  <si>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</si>
  <si>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</si>
  <si>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</si>
  <si>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</si>
  <si>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</si>
  <si>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</si>
  <si>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</si>
  <si>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</si>
  <si>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</si>
  <si>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</si>
  <si>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</si>
  <si>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</si>
  <si>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</si>
  <si>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</si>
  <si>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</si>
  <si>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</si>
  <si>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</si>
  <si>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</si>
  <si>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</si>
  <si>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</si>
  <si>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</si>
  <si>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</si>
  <si>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</si>
  <si>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</si>
  <si>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Qtr1</t>
  </si>
  <si>
    <t>Qtr2</t>
  </si>
  <si>
    <t>Qtr3</t>
  </si>
  <si>
    <t>Qtr4</t>
  </si>
  <si>
    <t>Column Labels</t>
  </si>
  <si>
    <t>s</t>
  </si>
  <si>
    <t>Max of yoy_growth_rate</t>
  </si>
  <si>
    <t>curent score</t>
  </si>
  <si>
    <t>prev score</t>
  </si>
  <si>
    <t>change</t>
  </si>
  <si>
    <t xml:space="preserve"> 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</si>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</sst>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9" fontId="0" fillId="0" borderId="0" xfId="1" applyFont="1"/>
  </cellXfs>
  <cellStyles count="2">
    <cellStyle name="Normal" xfId="0" builtinId="0"/>
    <cellStyle name="Percent" xfId="1" builtinId="5"/>
  </cellStyles>
  <dxfs count="10">
    <dxf>
      <numFmt numFmtId="0" formatCode="General"/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B71C1C"/>
      <color rgb="FFF57C00"/>
      <color rgb="FF1E88E5"/>
      <color rgb="FF1A3F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[Economic_health_dashboard.xlsx]pivot_analysis!PivotTable2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ln>
                  <a:solidFill>
                    <a:schemeClr val="bg1"/>
                  </a:solidFill>
                </a:ln>
                <a:solidFill>
                  <a:schemeClr val="bg1"/>
                </a:solidFill>
              </a:rPr>
              <a:t>Economy's</a:t>
            </a:r>
            <a:r>
              <a:rPr lang="en-US" sz="2000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</a:rPr>
              <a:t> </a:t>
            </a:r>
            <a:r>
              <a:rPr lang="en-US" sz="2000" baseline="0">
                <a:ln w="6350">
                  <a:solidFill>
                    <a:schemeClr val="bg1"/>
                  </a:solidFill>
                </a:ln>
                <a:solidFill>
                  <a:schemeClr val="bg1"/>
                </a:solidFill>
              </a:rPr>
              <a:t>Health</a:t>
            </a:r>
            <a:endParaRPr lang="en-US" sz="2000">
              <a:ln w="6350">
                <a:solidFill>
                  <a:schemeClr val="bg1"/>
                </a:solidFill>
              </a:ln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bg1"/>
                </a:solidFill>
              </a:ln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59000">
                  <a:schemeClr val="accent1">
                    <a:lumMod val="45000"/>
                    <a:lumOff val="55000"/>
                  </a:schemeClr>
                </a:gs>
                <a:gs pos="61000">
                  <a:srgbClr val="FF0000"/>
                </a:gs>
                <a:gs pos="100000">
                  <a:srgbClr val="FF0000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59000">
                  <a:schemeClr val="accent1">
                    <a:lumMod val="45000"/>
                    <a:lumOff val="55000"/>
                  </a:schemeClr>
                </a:gs>
                <a:gs pos="61000">
                  <a:srgbClr val="FF0000"/>
                </a:gs>
                <a:gs pos="100000">
                  <a:srgbClr val="FF0000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gradFill>
              <a:gsLst>
                <a:gs pos="10000">
                  <a:srgbClr val="1A3FA0">
                    <a:lumMod val="99000"/>
                    <a:lumOff val="1000"/>
                  </a:srgbClr>
                </a:gs>
                <a:gs pos="40000">
                  <a:srgbClr val="1E88E5"/>
                </a:gs>
                <a:gs pos="60000">
                  <a:srgbClr val="F57C00"/>
                </a:gs>
                <a:gs pos="90000">
                  <a:srgbClr val="B71C1C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5"/>
          <c:spPr>
            <a:noFill/>
            <a:ln w="12700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pivot_analysis!$B$2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10000">
                    <a:srgbClr val="1A3FA0">
                      <a:lumMod val="99000"/>
                      <a:lumOff val="1000"/>
                    </a:srgbClr>
                  </a:gs>
                  <a:gs pos="40000">
                    <a:srgbClr val="1E88E5"/>
                  </a:gs>
                  <a:gs pos="60000">
                    <a:srgbClr val="F57C00"/>
                  </a:gs>
                  <a:gs pos="90000">
                    <a:srgbClr val="B71C1C"/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noFill/>
              <a:ln w="12700">
                <a:noFill/>
              </a:ln>
              <a:effectLst/>
            </c:spPr>
          </c:marker>
          <c:cat>
            <c:multiLvlStrRef>
              <c:f>pivot_analysis!$A$3:$A$136</c:f>
              <c:multiLvlStrCache>
                <c:ptCount val="106"/>
                <c:lvl>
                  <c:pt idx="0">
                    <c:v>Qtr2</c:v>
                  </c:pt>
                  <c:pt idx="1">
                    <c:v>Qtr1</c:v>
                  </c:pt>
                  <c:pt idx="2">
                    <c:v>Qtr4</c:v>
                  </c:pt>
                  <c:pt idx="3">
                    <c:v>Qtr3</c:v>
                  </c:pt>
                  <c:pt idx="4">
                    <c:v>Qtr2</c:v>
                  </c:pt>
                  <c:pt idx="5">
                    <c:v>Qtr1</c:v>
                  </c:pt>
                  <c:pt idx="6">
                    <c:v>Qtr4</c:v>
                  </c:pt>
                  <c:pt idx="7">
                    <c:v>Qtr3</c:v>
                  </c:pt>
                  <c:pt idx="8">
                    <c:v>Qtr2</c:v>
                  </c:pt>
                  <c:pt idx="9">
                    <c:v>Qtr1</c:v>
                  </c:pt>
                  <c:pt idx="10">
                    <c:v>Qtr4</c:v>
                  </c:pt>
                  <c:pt idx="11">
                    <c:v>Qtr3</c:v>
                  </c:pt>
                  <c:pt idx="12">
                    <c:v>Qtr2</c:v>
                  </c:pt>
                  <c:pt idx="13">
                    <c:v>Qtr1</c:v>
                  </c:pt>
                  <c:pt idx="14">
                    <c:v>Qtr4</c:v>
                  </c:pt>
                  <c:pt idx="15">
                    <c:v>Qtr3</c:v>
                  </c:pt>
                  <c:pt idx="16">
                    <c:v>Qtr2</c:v>
                  </c:pt>
                  <c:pt idx="17">
                    <c:v>Qtr1</c:v>
                  </c:pt>
                  <c:pt idx="18">
                    <c:v>Qtr4</c:v>
                  </c:pt>
                  <c:pt idx="19">
                    <c:v>Qtr3</c:v>
                  </c:pt>
                  <c:pt idx="20">
                    <c:v>Qtr2</c:v>
                  </c:pt>
                  <c:pt idx="21">
                    <c:v>Qtr1</c:v>
                  </c:pt>
                  <c:pt idx="22">
                    <c:v>Qtr4</c:v>
                  </c:pt>
                  <c:pt idx="23">
                    <c:v>Qtr3</c:v>
                  </c:pt>
                  <c:pt idx="24">
                    <c:v>Qtr2</c:v>
                  </c:pt>
                  <c:pt idx="25">
                    <c:v>Qtr1</c:v>
                  </c:pt>
                  <c:pt idx="26">
                    <c:v>Qtr4</c:v>
                  </c:pt>
                  <c:pt idx="27">
                    <c:v>Qtr3</c:v>
                  </c:pt>
                  <c:pt idx="28">
                    <c:v>Qtr2</c:v>
                  </c:pt>
                  <c:pt idx="29">
                    <c:v>Qtr1</c:v>
                  </c:pt>
                  <c:pt idx="30">
                    <c:v>Qtr4</c:v>
                  </c:pt>
                  <c:pt idx="31">
                    <c:v>Qtr3</c:v>
                  </c:pt>
                  <c:pt idx="32">
                    <c:v>Qtr2</c:v>
                  </c:pt>
                  <c:pt idx="33">
                    <c:v>Qtr1</c:v>
                  </c:pt>
                  <c:pt idx="34">
                    <c:v>Qtr4</c:v>
                  </c:pt>
                  <c:pt idx="35">
                    <c:v>Qtr3</c:v>
                  </c:pt>
                  <c:pt idx="36">
                    <c:v>Qtr2</c:v>
                  </c:pt>
                  <c:pt idx="37">
                    <c:v>Qtr1</c:v>
                  </c:pt>
                  <c:pt idx="38">
                    <c:v>Qtr4</c:v>
                  </c:pt>
                  <c:pt idx="39">
                    <c:v>Qtr3</c:v>
                  </c:pt>
                  <c:pt idx="40">
                    <c:v>Qtr2</c:v>
                  </c:pt>
                  <c:pt idx="41">
                    <c:v>Qtr1</c:v>
                  </c:pt>
                  <c:pt idx="42">
                    <c:v>Qtr4</c:v>
                  </c:pt>
                  <c:pt idx="43">
                    <c:v>Qtr3</c:v>
                  </c:pt>
                  <c:pt idx="44">
                    <c:v>Qtr2</c:v>
                  </c:pt>
                  <c:pt idx="45">
                    <c:v>Qtr1</c:v>
                  </c:pt>
                  <c:pt idx="46">
                    <c:v>Qtr4</c:v>
                  </c:pt>
                  <c:pt idx="47">
                    <c:v>Qtr3</c:v>
                  </c:pt>
                  <c:pt idx="48">
                    <c:v>Qtr2</c:v>
                  </c:pt>
                  <c:pt idx="49">
                    <c:v>Qtr1</c:v>
                  </c:pt>
                  <c:pt idx="50">
                    <c:v>Qtr4</c:v>
                  </c:pt>
                  <c:pt idx="51">
                    <c:v>Qtr3</c:v>
                  </c:pt>
                  <c:pt idx="52">
                    <c:v>Qtr2</c:v>
                  </c:pt>
                  <c:pt idx="53">
                    <c:v>Qtr1</c:v>
                  </c:pt>
                  <c:pt idx="54">
                    <c:v>Qtr4</c:v>
                  </c:pt>
                  <c:pt idx="55">
                    <c:v>Qtr3</c:v>
                  </c:pt>
                  <c:pt idx="56">
                    <c:v>Qtr2</c:v>
                  </c:pt>
                  <c:pt idx="57">
                    <c:v>Qtr1</c:v>
                  </c:pt>
                  <c:pt idx="58">
                    <c:v>Qtr4</c:v>
                  </c:pt>
                  <c:pt idx="59">
                    <c:v>Qtr3</c:v>
                  </c:pt>
                  <c:pt idx="60">
                    <c:v>Qtr2</c:v>
                  </c:pt>
                  <c:pt idx="61">
                    <c:v>Qtr1</c:v>
                  </c:pt>
                  <c:pt idx="62">
                    <c:v>Qtr4</c:v>
                  </c:pt>
                  <c:pt idx="63">
                    <c:v>Qtr3</c:v>
                  </c:pt>
                  <c:pt idx="64">
                    <c:v>Qtr2</c:v>
                  </c:pt>
                  <c:pt idx="65">
                    <c:v>Qtr1</c:v>
                  </c:pt>
                  <c:pt idx="66">
                    <c:v>Qtr4</c:v>
                  </c:pt>
                  <c:pt idx="67">
                    <c:v>Qtr3</c:v>
                  </c:pt>
                  <c:pt idx="68">
                    <c:v>Qtr2</c:v>
                  </c:pt>
                  <c:pt idx="69">
                    <c:v>Qtr1</c:v>
                  </c:pt>
                  <c:pt idx="70">
                    <c:v>Qtr4</c:v>
                  </c:pt>
                  <c:pt idx="71">
                    <c:v>Qtr3</c:v>
                  </c:pt>
                  <c:pt idx="72">
                    <c:v>Qtr2</c:v>
                  </c:pt>
                  <c:pt idx="73">
                    <c:v>Qtr1</c:v>
                  </c:pt>
                  <c:pt idx="74">
                    <c:v>Qtr4</c:v>
                  </c:pt>
                  <c:pt idx="75">
                    <c:v>Qtr3</c:v>
                  </c:pt>
                  <c:pt idx="76">
                    <c:v>Qtr2</c:v>
                  </c:pt>
                  <c:pt idx="77">
                    <c:v>Qtr1</c:v>
                  </c:pt>
                  <c:pt idx="78">
                    <c:v>Qtr4</c:v>
                  </c:pt>
                  <c:pt idx="79">
                    <c:v>Qtr3</c:v>
                  </c:pt>
                  <c:pt idx="80">
                    <c:v>Qtr2</c:v>
                  </c:pt>
                  <c:pt idx="81">
                    <c:v>Qtr1</c:v>
                  </c:pt>
                  <c:pt idx="82">
                    <c:v>Qtr4</c:v>
                  </c:pt>
                  <c:pt idx="83">
                    <c:v>Qtr3</c:v>
                  </c:pt>
                  <c:pt idx="84">
                    <c:v>Qtr2</c:v>
                  </c:pt>
                  <c:pt idx="85">
                    <c:v>Qtr1</c:v>
                  </c:pt>
                  <c:pt idx="86">
                    <c:v>Qtr4</c:v>
                  </c:pt>
                  <c:pt idx="87">
                    <c:v>Qtr3</c:v>
                  </c:pt>
                  <c:pt idx="88">
                    <c:v>Qtr2</c:v>
                  </c:pt>
                  <c:pt idx="89">
                    <c:v>Qtr1</c:v>
                  </c:pt>
                  <c:pt idx="90">
                    <c:v>Qtr4</c:v>
                  </c:pt>
                  <c:pt idx="91">
                    <c:v>Qtr3</c:v>
                  </c:pt>
                  <c:pt idx="92">
                    <c:v>Qtr2</c:v>
                  </c:pt>
                  <c:pt idx="93">
                    <c:v>Qtr1</c:v>
                  </c:pt>
                  <c:pt idx="94">
                    <c:v>Qtr4</c:v>
                  </c:pt>
                  <c:pt idx="95">
                    <c:v>Qtr3</c:v>
                  </c:pt>
                  <c:pt idx="96">
                    <c:v>Qtr2</c:v>
                  </c:pt>
                  <c:pt idx="97">
                    <c:v>Qtr1</c:v>
                  </c:pt>
                  <c:pt idx="98">
                    <c:v>Qtr4</c:v>
                  </c:pt>
                  <c:pt idx="99">
                    <c:v>Qtr3</c:v>
                  </c:pt>
                  <c:pt idx="100">
                    <c:v>Qtr2</c:v>
                  </c:pt>
                  <c:pt idx="101">
                    <c:v>Qtr1</c:v>
                  </c:pt>
                  <c:pt idx="102">
                    <c:v>Qtr4</c:v>
                  </c:pt>
                  <c:pt idx="103">
                    <c:v>Qtr3</c:v>
                  </c:pt>
                  <c:pt idx="104">
                    <c:v>Qtr2</c:v>
                  </c:pt>
                  <c:pt idx="105">
                    <c:v>Qtr1</c:v>
                  </c:pt>
                </c:lvl>
                <c:lvl>
                  <c:pt idx="0">
                    <c:v>2026</c:v>
                  </c:pt>
                  <c:pt idx="2">
                    <c:v>2025</c:v>
                  </c:pt>
                  <c:pt idx="6">
                    <c:v>2024</c:v>
                  </c:pt>
                  <c:pt idx="10">
                    <c:v>2023</c:v>
                  </c:pt>
                  <c:pt idx="14">
                    <c:v>2022</c:v>
                  </c:pt>
                  <c:pt idx="18">
                    <c:v>2021</c:v>
                  </c:pt>
                  <c:pt idx="22">
                    <c:v>2020</c:v>
                  </c:pt>
                  <c:pt idx="26">
                    <c:v>2019</c:v>
                  </c:pt>
                  <c:pt idx="30">
                    <c:v>2018</c:v>
                  </c:pt>
                  <c:pt idx="34">
                    <c:v>2017</c:v>
                  </c:pt>
                  <c:pt idx="38">
                    <c:v>2016</c:v>
                  </c:pt>
                  <c:pt idx="42">
                    <c:v>2015</c:v>
                  </c:pt>
                  <c:pt idx="46">
                    <c:v>2014</c:v>
                  </c:pt>
                  <c:pt idx="50">
                    <c:v>2013</c:v>
                  </c:pt>
                  <c:pt idx="54">
                    <c:v>2012</c:v>
                  </c:pt>
                  <c:pt idx="58">
                    <c:v>2011</c:v>
                  </c:pt>
                  <c:pt idx="62">
                    <c:v>2010</c:v>
                  </c:pt>
                  <c:pt idx="66">
                    <c:v>2009</c:v>
                  </c:pt>
                  <c:pt idx="70">
                    <c:v>2008</c:v>
                  </c:pt>
                  <c:pt idx="74">
                    <c:v>2007</c:v>
                  </c:pt>
                  <c:pt idx="78">
                    <c:v>2006</c:v>
                  </c:pt>
                  <c:pt idx="82">
                    <c:v>2005</c:v>
                  </c:pt>
                  <c:pt idx="86">
                    <c:v>2004</c:v>
                  </c:pt>
                  <c:pt idx="90">
                    <c:v>2003</c:v>
                  </c:pt>
                  <c:pt idx="94">
                    <c:v>2002</c:v>
                  </c:pt>
                  <c:pt idx="98">
                    <c:v>2001</c:v>
                  </c:pt>
                  <c:pt idx="102">
                    <c:v>2000</c:v>
                  </c:pt>
                </c:lvl>
              </c:multiLvlStrCache>
            </c:multiLvlStrRef>
          </c:cat>
          <c:val>
            <c:numRef>
              <c:f>pivot_analysis!$B$3:$B$136</c:f>
              <c:numCache>
                <c:formatCode>General</c:formatCode>
                <c:ptCount val="106"/>
                <c:pt idx="0">
                  <c:v>50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50</c:v>
                </c:pt>
                <c:pt idx="6">
                  <c:v>65</c:v>
                </c:pt>
                <c:pt idx="7">
                  <c:v>55</c:v>
                </c:pt>
                <c:pt idx="8">
                  <c:v>70</c:v>
                </c:pt>
                <c:pt idx="9">
                  <c:v>70</c:v>
                </c:pt>
                <c:pt idx="10">
                  <c:v>60</c:v>
                </c:pt>
                <c:pt idx="11">
                  <c:v>60</c:v>
                </c:pt>
                <c:pt idx="12">
                  <c:v>70</c:v>
                </c:pt>
                <c:pt idx="13">
                  <c:v>70</c:v>
                </c:pt>
                <c:pt idx="14">
                  <c:v>55</c:v>
                </c:pt>
                <c:pt idx="15">
                  <c:v>55</c:v>
                </c:pt>
                <c:pt idx="16">
                  <c:v>65</c:v>
                </c:pt>
                <c:pt idx="17">
                  <c:v>65</c:v>
                </c:pt>
                <c:pt idx="18">
                  <c:v>60</c:v>
                </c:pt>
                <c:pt idx="19">
                  <c:v>60</c:v>
                </c:pt>
                <c:pt idx="20">
                  <c:v>80</c:v>
                </c:pt>
                <c:pt idx="21">
                  <c:v>35</c:v>
                </c:pt>
                <c:pt idx="22">
                  <c:v>20</c:v>
                </c:pt>
                <c:pt idx="23">
                  <c:v>20</c:v>
                </c:pt>
                <c:pt idx="24">
                  <c:v>10</c:v>
                </c:pt>
                <c:pt idx="25">
                  <c:v>65</c:v>
                </c:pt>
                <c:pt idx="26">
                  <c:v>50</c:v>
                </c:pt>
                <c:pt idx="27">
                  <c:v>55</c:v>
                </c:pt>
                <c:pt idx="28">
                  <c:v>80</c:v>
                </c:pt>
                <c:pt idx="29">
                  <c:v>65</c:v>
                </c:pt>
                <c:pt idx="30">
                  <c:v>65</c:v>
                </c:pt>
                <c:pt idx="31">
                  <c:v>80</c:v>
                </c:pt>
                <c:pt idx="32">
                  <c:v>80</c:v>
                </c:pt>
                <c:pt idx="33">
                  <c:v>80</c:v>
                </c:pt>
                <c:pt idx="34">
                  <c:v>80</c:v>
                </c:pt>
                <c:pt idx="35">
                  <c:v>80</c:v>
                </c:pt>
                <c:pt idx="36">
                  <c:v>80</c:v>
                </c:pt>
                <c:pt idx="37">
                  <c:v>80</c:v>
                </c:pt>
                <c:pt idx="38">
                  <c:v>80</c:v>
                </c:pt>
                <c:pt idx="39">
                  <c:v>55</c:v>
                </c:pt>
                <c:pt idx="40">
                  <c:v>55</c:v>
                </c:pt>
                <c:pt idx="41">
                  <c:v>55</c:v>
                </c:pt>
                <c:pt idx="42">
                  <c:v>70</c:v>
                </c:pt>
                <c:pt idx="43">
                  <c:v>80</c:v>
                </c:pt>
                <c:pt idx="44">
                  <c:v>70</c:v>
                </c:pt>
                <c:pt idx="45">
                  <c:v>80</c:v>
                </c:pt>
                <c:pt idx="46">
                  <c:v>80</c:v>
                </c:pt>
                <c:pt idx="47">
                  <c:v>80</c:v>
                </c:pt>
                <c:pt idx="48">
                  <c:v>75</c:v>
                </c:pt>
                <c:pt idx="49">
                  <c:v>75</c:v>
                </c:pt>
                <c:pt idx="50">
                  <c:v>50</c:v>
                </c:pt>
                <c:pt idx="51">
                  <c:v>65</c:v>
                </c:pt>
                <c:pt idx="52">
                  <c:v>65</c:v>
                </c:pt>
                <c:pt idx="53">
                  <c:v>70</c:v>
                </c:pt>
                <c:pt idx="54">
                  <c:v>70</c:v>
                </c:pt>
                <c:pt idx="55">
                  <c:v>70</c:v>
                </c:pt>
                <c:pt idx="56">
                  <c:v>70</c:v>
                </c:pt>
                <c:pt idx="57">
                  <c:v>75</c:v>
                </c:pt>
                <c:pt idx="58">
                  <c:v>60</c:v>
                </c:pt>
                <c:pt idx="59">
                  <c:v>60</c:v>
                </c:pt>
                <c:pt idx="60">
                  <c:v>60</c:v>
                </c:pt>
                <c:pt idx="61">
                  <c:v>65</c:v>
                </c:pt>
                <c:pt idx="62">
                  <c:v>80</c:v>
                </c:pt>
                <c:pt idx="63">
                  <c:v>50</c:v>
                </c:pt>
                <c:pt idx="64">
                  <c:v>55</c:v>
                </c:pt>
                <c:pt idx="65">
                  <c:v>50</c:v>
                </c:pt>
                <c:pt idx="66">
                  <c:v>40</c:v>
                </c:pt>
                <c:pt idx="67">
                  <c:v>15</c:v>
                </c:pt>
                <c:pt idx="68">
                  <c:v>15</c:v>
                </c:pt>
                <c:pt idx="69">
                  <c:v>0</c:v>
                </c:pt>
                <c:pt idx="70">
                  <c:v>0</c:v>
                </c:pt>
                <c:pt idx="71">
                  <c:v>35</c:v>
                </c:pt>
                <c:pt idx="72">
                  <c:v>35</c:v>
                </c:pt>
                <c:pt idx="73">
                  <c:v>50</c:v>
                </c:pt>
                <c:pt idx="74">
                  <c:v>40</c:v>
                </c:pt>
                <c:pt idx="75">
                  <c:v>55</c:v>
                </c:pt>
                <c:pt idx="76">
                  <c:v>70</c:v>
                </c:pt>
                <c:pt idx="77">
                  <c:v>70</c:v>
                </c:pt>
                <c:pt idx="78">
                  <c:v>70</c:v>
                </c:pt>
                <c:pt idx="79">
                  <c:v>65</c:v>
                </c:pt>
                <c:pt idx="80">
                  <c:v>65</c:v>
                </c:pt>
                <c:pt idx="81">
                  <c:v>65</c:v>
                </c:pt>
                <c:pt idx="82">
                  <c:v>65</c:v>
                </c:pt>
                <c:pt idx="83">
                  <c:v>65</c:v>
                </c:pt>
                <c:pt idx="84">
                  <c:v>65</c:v>
                </c:pt>
                <c:pt idx="85">
                  <c:v>65</c:v>
                </c:pt>
                <c:pt idx="86">
                  <c:v>80</c:v>
                </c:pt>
                <c:pt idx="87">
                  <c:v>80</c:v>
                </c:pt>
                <c:pt idx="88">
                  <c:v>75</c:v>
                </c:pt>
                <c:pt idx="89">
                  <c:v>75</c:v>
                </c:pt>
                <c:pt idx="90">
                  <c:v>60</c:v>
                </c:pt>
                <c:pt idx="91">
                  <c:v>50</c:v>
                </c:pt>
                <c:pt idx="92">
                  <c:v>45</c:v>
                </c:pt>
                <c:pt idx="93">
                  <c:v>35</c:v>
                </c:pt>
                <c:pt idx="94">
                  <c:v>45</c:v>
                </c:pt>
                <c:pt idx="95">
                  <c:v>45</c:v>
                </c:pt>
                <c:pt idx="96">
                  <c:v>50</c:v>
                </c:pt>
                <c:pt idx="97">
                  <c:v>40</c:v>
                </c:pt>
                <c:pt idx="98">
                  <c:v>25</c:v>
                </c:pt>
                <c:pt idx="99">
                  <c:v>25</c:v>
                </c:pt>
                <c:pt idx="100">
                  <c:v>40</c:v>
                </c:pt>
                <c:pt idx="101">
                  <c:v>50</c:v>
                </c:pt>
                <c:pt idx="102">
                  <c:v>65</c:v>
                </c:pt>
                <c:pt idx="103">
                  <c:v>80</c:v>
                </c:pt>
                <c:pt idx="104">
                  <c:v>80</c:v>
                </c:pt>
                <c:pt idx="105">
                  <c:v>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EC1-4CCD-9695-515844418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3718224"/>
        <c:axId val="2093718704"/>
      </c:lineChart>
      <c:catAx>
        <c:axId val="209371822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>
              <a:lumMod val="95000"/>
              <a:alpha val="0"/>
            </a:schemeClr>
          </a:solidFill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718704"/>
        <c:crosses val="autoZero"/>
        <c:auto val="1"/>
        <c:lblAlgn val="ctr"/>
        <c:lblOffset val="100"/>
        <c:noMultiLvlLbl val="0"/>
      </c:catAx>
      <c:valAx>
        <c:axId val="209371870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71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[Economic_health_dashboard.xlsx]pivot_analysis!PivotTable3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This Year</a:t>
            </a:r>
            <a:r>
              <a:rPr lang="en-US" baseline="0">
                <a:solidFill>
                  <a:schemeClr val="bg1"/>
                </a:solidFill>
              </a:rPr>
              <a:t> Trend's Growth YoY%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31750" cap="rnd" cmpd="sng" algn="ctr">
            <a:solidFill>
              <a:srgbClr val="1E88E5"/>
            </a:solidFill>
            <a:round/>
          </a:ln>
          <a:effectLst/>
        </c:spPr>
        <c:marker>
          <c:symbol val="circle"/>
          <c:size val="17"/>
          <c:spPr>
            <a:solidFill>
              <a:srgbClr val="1E88E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31750" cap="rnd" cmpd="sng" algn="ctr">
            <a:solidFill>
              <a:srgbClr val="1A3FA0"/>
            </a:solidFill>
            <a:round/>
          </a:ln>
          <a:effectLst/>
        </c:spPr>
        <c:marker>
          <c:symbol val="circle"/>
          <c:size val="17"/>
          <c:spPr>
            <a:solidFill>
              <a:srgbClr val="1A3FA0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31750" cap="rnd" cmpd="sng" algn="ctr">
            <a:solidFill>
              <a:srgbClr val="F57C00"/>
            </a:solidFill>
            <a:round/>
          </a:ln>
          <a:effectLst/>
        </c:spPr>
        <c:marker>
          <c:symbol val="circle"/>
          <c:size val="17"/>
          <c:spPr>
            <a:solidFill>
              <a:srgbClr val="F57C00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31750" cap="rnd" cmpd="sng" algn="ctr">
            <a:solidFill>
              <a:srgbClr val="F57C00"/>
            </a:solidFill>
            <a:round/>
          </a:ln>
          <a:effectLst/>
        </c:spPr>
        <c:marker>
          <c:symbol val="circle"/>
          <c:size val="17"/>
          <c:spPr>
            <a:solidFill>
              <a:srgbClr val="F57C00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31750" cap="rnd" cmpd="sng" algn="ctr">
            <a:solidFill>
              <a:srgbClr val="1E88E5"/>
            </a:solidFill>
            <a:round/>
          </a:ln>
          <a:effectLst/>
        </c:spPr>
        <c:marker>
          <c:symbol val="circle"/>
          <c:size val="17"/>
          <c:spPr>
            <a:solidFill>
              <a:srgbClr val="1E88E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5000"/>
            </a:schemeClr>
          </a:solidFill>
          <a:ln w="31750" cap="rnd" cmpd="sng" algn="ctr">
            <a:solidFill>
              <a:srgbClr val="1A3FA0"/>
            </a:solidFill>
            <a:round/>
          </a:ln>
          <a:effectLst/>
        </c:spPr>
        <c:marker>
          <c:symbol val="circle"/>
          <c:size val="17"/>
          <c:spPr>
            <a:solidFill>
              <a:srgbClr val="1A3FA0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31750" cap="rnd">
            <a:solidFill>
              <a:srgbClr val="F57C00"/>
            </a:solidFill>
            <a:round/>
          </a:ln>
          <a:effectLst/>
        </c:spPr>
        <c:marker>
          <c:symbol val="circle"/>
          <c:size val="17"/>
          <c:spPr>
            <a:solidFill>
              <a:srgbClr val="F57C00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31750" cap="rnd">
            <a:solidFill>
              <a:srgbClr val="1E88E5"/>
            </a:solidFill>
            <a:round/>
          </a:ln>
          <a:effectLst/>
        </c:spPr>
        <c:marker>
          <c:symbol val="circle"/>
          <c:size val="17"/>
          <c:spPr>
            <a:solidFill>
              <a:srgbClr val="1E88E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31750" cap="rnd">
            <a:solidFill>
              <a:srgbClr val="1A3FA0"/>
            </a:solidFill>
            <a:round/>
          </a:ln>
          <a:effectLst/>
        </c:spPr>
        <c:marker>
          <c:symbol val="circle"/>
          <c:size val="17"/>
          <c:spPr>
            <a:solidFill>
              <a:srgbClr val="1A3FA0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31750" cap="rnd">
            <a:solidFill>
              <a:srgbClr val="B71C1C"/>
            </a:solidFill>
            <a:round/>
          </a:ln>
          <a:effectLst/>
        </c:spPr>
        <c:marker>
          <c:symbol val="circle"/>
          <c:size val="17"/>
          <c:spPr>
            <a:solidFill>
              <a:srgbClr val="C00000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21471817560722E-3"/>
          <c:y val="9.4219906737826487E-2"/>
          <c:w val="0.90397359082783757"/>
          <c:h val="0.69630257122604489"/>
        </c:manualLayout>
      </c:layout>
      <c:lineChart>
        <c:grouping val="stacked"/>
        <c:varyColors val="0"/>
        <c:ser>
          <c:idx val="0"/>
          <c:order val="0"/>
          <c:tx>
            <c:strRef>
              <c:f>pivot_analysis!$F$2:$F$3</c:f>
              <c:strCache>
                <c:ptCount val="1"/>
                <c:pt idx="0">
                  <c:v>Core CPI</c:v>
                </c:pt>
              </c:strCache>
            </c:strRef>
          </c:tx>
          <c:spPr>
            <a:ln w="31750" cap="rnd">
              <a:solidFill>
                <a:srgbClr val="F57C00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rgbClr val="F57C00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pivot_analysis!$E$4:$E$7</c:f>
              <c:multiLvlStrCache>
                <c:ptCount val="2"/>
                <c:lvl>
                  <c:pt idx="0">
                    <c:v>Qtr1</c:v>
                  </c:pt>
                  <c:pt idx="1">
                    <c:v>Qtr2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pivot_analysis!$F$4:$F$7</c:f>
              <c:numCache>
                <c:formatCode>General</c:formatCode>
                <c:ptCount val="2"/>
                <c:pt idx="0">
                  <c:v>3.39</c:v>
                </c:pt>
                <c:pt idx="1">
                  <c:v>3.26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E7-4C33-943A-F3AA3C1BF7DE}"/>
            </c:ext>
          </c:extLst>
        </c:ser>
        <c:ser>
          <c:idx val="1"/>
          <c:order val="1"/>
          <c:tx>
            <c:strRef>
              <c:f>pivot_analysis!$G$2:$G$3</c:f>
              <c:strCache>
                <c:ptCount val="1"/>
                <c:pt idx="0">
                  <c:v>Federal funds rate</c:v>
                </c:pt>
              </c:strCache>
            </c:strRef>
          </c:tx>
          <c:spPr>
            <a:ln w="31750" cap="rnd">
              <a:solidFill>
                <a:srgbClr val="B71C1C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rgbClr val="C00000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pivot_analysis!$E$4:$E$7</c:f>
              <c:multiLvlStrCache>
                <c:ptCount val="2"/>
                <c:lvl>
                  <c:pt idx="0">
                    <c:v>Qtr1</c:v>
                  </c:pt>
                  <c:pt idx="1">
                    <c:v>Qtr2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pivot_analysis!$G$4:$G$7</c:f>
              <c:numCache>
                <c:formatCode>General</c:formatCode>
                <c:ptCount val="2"/>
                <c:pt idx="0">
                  <c:v>-15.94</c:v>
                </c:pt>
                <c:pt idx="1">
                  <c:v>-16.100000000000001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1E7-4C33-943A-F3AA3C1BF7DE}"/>
            </c:ext>
          </c:extLst>
        </c:ser>
        <c:ser>
          <c:idx val="2"/>
          <c:order val="2"/>
          <c:tx>
            <c:strRef>
              <c:f>pivot_analysis!$H$2:$H$3</c:f>
              <c:strCache>
                <c:ptCount val="1"/>
                <c:pt idx="0">
                  <c:v>Real GDP</c:v>
                </c:pt>
              </c:strCache>
            </c:strRef>
          </c:tx>
          <c:spPr>
            <a:ln w="31750" cap="rnd">
              <a:solidFill>
                <a:srgbClr val="1E88E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rgbClr val="1E88E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pivot_analysis!$E$4:$E$7</c:f>
              <c:multiLvlStrCache>
                <c:ptCount val="2"/>
                <c:lvl>
                  <c:pt idx="0">
                    <c:v>Qtr1</c:v>
                  </c:pt>
                  <c:pt idx="1">
                    <c:v>Qtr2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pivot_analysis!$H$4:$H$7</c:f>
              <c:numCache>
                <c:formatCode>General</c:formatCode>
                <c:ptCount val="2"/>
                <c:pt idx="0">
                  <c:v>2.68</c:v>
                </c:pt>
                <c:pt idx="1">
                  <c:v>2.1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1E7-4C33-943A-F3AA3C1BF7DE}"/>
            </c:ext>
          </c:extLst>
        </c:ser>
        <c:ser>
          <c:idx val="3"/>
          <c:order val="3"/>
          <c:tx>
            <c:strRef>
              <c:f>pivot_analysis!$I$2:$I$3</c:f>
              <c:strCache>
                <c:ptCount val="1"/>
                <c:pt idx="0">
                  <c:v>Unemployment rate</c:v>
                </c:pt>
              </c:strCache>
            </c:strRef>
          </c:tx>
          <c:spPr>
            <a:ln w="31750" cap="rnd">
              <a:solidFill>
                <a:srgbClr val="1A3FA0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rgbClr val="1A3FA0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pivot_analysis!$E$4:$E$7</c:f>
              <c:multiLvlStrCache>
                <c:ptCount val="2"/>
                <c:lvl>
                  <c:pt idx="0">
                    <c:v>Qtr1</c:v>
                  </c:pt>
                  <c:pt idx="1">
                    <c:v>Qtr2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pivot_analysis!$I$4:$I$7</c:f>
              <c:numCache>
                <c:formatCode>General</c:formatCode>
                <c:ptCount val="2"/>
                <c:pt idx="0">
                  <c:v>4.84</c:v>
                </c:pt>
                <c:pt idx="1">
                  <c:v>3.24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E7-4C33-943A-F3AA3C1BF7D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81960160"/>
        <c:axId val="2081962560"/>
      </c:lineChart>
      <c:catAx>
        <c:axId val="208196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noFill/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1200" b="0" i="0" u="none" strike="noStrike" kern="1200" cap="all" baseline="0">
                <a:ln w="12700">
                  <a:solidFill>
                    <a:schemeClr val="bg1"/>
                  </a:solidFill>
                </a:ln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962560"/>
        <c:crosses val="autoZero"/>
        <c:auto val="0"/>
        <c:lblAlgn val="ctr"/>
        <c:lblOffset val="100"/>
        <c:tickMarkSkip val="1"/>
        <c:noMultiLvlLbl val="0"/>
      </c:catAx>
      <c:valAx>
        <c:axId val="2081962560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2081960160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185057</xdr:colOff>
      <xdr:row>1</xdr:row>
      <xdr:rowOff>0</xdr:rowOff>
    </xdr:from>
    <xdr:to>
      <xdr:col>22</xdr:col>
      <xdr:colOff>0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6B52D2-6FC2-4AD6-B658-DC668591D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228599</xdr:colOff>
      <xdr:row>1</xdr:row>
      <xdr:rowOff>1</xdr:rowOff>
    </xdr:from>
    <xdr:to>
      <xdr:col>5</xdr:col>
      <xdr:colOff>609599</xdr:colOff>
      <xdr:row>7</xdr:row>
      <xdr:rowOff>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3708EE9-F930-44E7-8B98-B9C35D72DD60}"/>
            </a:ext>
          </a:extLst>
        </xdr:cNvPr>
        <xdr:cNvSpPr/>
      </xdr:nvSpPr>
      <xdr:spPr>
        <a:xfrm>
          <a:off x="228599" y="185058"/>
          <a:ext cx="2623457" cy="1110342"/>
        </a:xfrm>
        <a:prstGeom prst="roundRect">
          <a:avLst/>
        </a:prstGeom>
        <a:solidFill>
          <a:srgbClr val="1A3FA0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0">
              <a:solidFill>
                <a:schemeClr val="bg1"/>
              </a:solidFill>
              <a:latin typeface="+mn-lt"/>
              <a:ea typeface="+mn-ea"/>
              <a:cs typeface="+mn-cs"/>
            </a:rPr>
            <a:t>current</a:t>
          </a:r>
          <a:r>
            <a:rPr lang="en-US" sz="2000" b="0">
              <a:solidFill>
                <a:schemeClr val="bg1"/>
              </a:solidFill>
            </a:rPr>
            <a:t> </a:t>
          </a:r>
          <a:r>
            <a:rPr lang="en-US" sz="2000" b="0">
              <a:solidFill>
                <a:schemeClr val="bg1"/>
              </a:solidFill>
              <a:latin typeface="+mn-lt"/>
              <a:ea typeface="+mn-ea"/>
              <a:cs typeface="+mn-cs"/>
            </a:rPr>
            <a:t>score</a:t>
          </a:r>
        </a:p>
        <a:p>
          <a:pPr algn="l"/>
          <a:endParaRPr lang="en-US" sz="2000" b="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228599</xdr:colOff>
      <xdr:row>7</xdr:row>
      <xdr:rowOff>185056</xdr:rowOff>
    </xdr:from>
    <xdr:to>
      <xdr:col>5</xdr:col>
      <xdr:colOff>609599</xdr:colOff>
      <xdr:row>14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42A1C38-1AF3-383C-C70A-8C146B0A1DFD}"/>
            </a:ext>
          </a:extLst>
        </xdr:cNvPr>
        <xdr:cNvSpPr/>
      </xdr:nvSpPr>
      <xdr:spPr>
        <a:xfrm>
          <a:off x="228599" y="1480456"/>
          <a:ext cx="2623457" cy="1110344"/>
        </a:xfrm>
        <a:prstGeom prst="roundRect">
          <a:avLst/>
        </a:prstGeom>
        <a:solidFill>
          <a:srgbClr val="1E88E5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0">
              <a:solidFill>
                <a:schemeClr val="bg1"/>
              </a:solidFill>
            </a:rPr>
            <a:t>prev quarter</a:t>
          </a:r>
        </a:p>
      </xdr:txBody>
    </xdr:sp>
    <xdr:clientData/>
  </xdr:twoCellAnchor>
  <xdr:twoCellAnchor>
    <xdr:from>
      <xdr:col>1</xdr:col>
      <xdr:colOff>0</xdr:colOff>
      <xdr:row>15</xdr:row>
      <xdr:rowOff>0</xdr:rowOff>
    </xdr:from>
    <xdr:to>
      <xdr:col>5</xdr:col>
      <xdr:colOff>598715</xdr:colOff>
      <xdr:row>20</xdr:row>
      <xdr:rowOff>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F265E436-5A1D-2606-1D08-E977E9E3CC2A}"/>
            </a:ext>
          </a:extLst>
        </xdr:cNvPr>
        <xdr:cNvSpPr/>
      </xdr:nvSpPr>
      <xdr:spPr>
        <a:xfrm>
          <a:off x="228600" y="2775857"/>
          <a:ext cx="2612572" cy="925286"/>
        </a:xfrm>
        <a:prstGeom prst="roundRect">
          <a:avLst/>
        </a:prstGeom>
        <a:solidFill>
          <a:srgbClr val="F57C00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0">
              <a:solidFill>
                <a:schemeClr val="bg1"/>
              </a:solidFill>
              <a:latin typeface="+mn-lt"/>
              <a:ea typeface="+mn-ea"/>
              <a:cs typeface="+mn-cs"/>
            </a:rPr>
            <a:t>change</a:t>
          </a:r>
        </a:p>
      </xdr:txBody>
    </xdr:sp>
    <xdr:clientData/>
  </xdr:twoCellAnchor>
  <xdr:twoCellAnchor>
    <xdr:from>
      <xdr:col>1</xdr:col>
      <xdr:colOff>0</xdr:colOff>
      <xdr:row>21</xdr:row>
      <xdr:rowOff>0</xdr:rowOff>
    </xdr:from>
    <xdr:to>
      <xdr:col>22</xdr:col>
      <xdr:colOff>0</xdr:colOff>
      <xdr:row>37</xdr:row>
      <xdr:rowOff>185056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B897B17-D69F-482B-8A59-4F2BE7D485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</xdr:colOff>
      <xdr:row>1</xdr:row>
      <xdr:rowOff>0</xdr:rowOff>
    </xdr:from>
    <xdr:to>
      <xdr:col>6</xdr:col>
      <xdr:colOff>0</xdr:colOff>
      <xdr:row>6</xdr:row>
      <xdr:rowOff>163286</xdr:rowOff>
    </xdr:to>
    <xdr:sp macro="" textlink="pivot_analysis!J13">
      <xdr:nvSpPr>
        <xdr:cNvPr id="2" name="TextBox 1">
          <a:extLst>
            <a:ext uri="{FF2B5EF4-FFF2-40B4-BE49-F238E27FC236}">
              <a16:creationId xmlns:a16="http://schemas.microsoft.com/office/drawing/2014/main" id="{E6E313E0-1D16-458C-8CF0-06AA8D5950F9}"/>
            </a:ext>
          </a:extLst>
        </xdr:cNvPr>
        <xdr:cNvSpPr txBox="1"/>
      </xdr:nvSpPr>
      <xdr:spPr>
        <a:xfrm>
          <a:off x="228601" y="185057"/>
          <a:ext cx="2623456" cy="1088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indent="0" algn="ctr"/>
          <a:fld id="{AC1AAB9F-8113-4404-A0B0-3BFEDB58808F}" type="TxLink">
            <a:rPr lang="en-US" sz="48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50%</a:t>
          </a:fld>
          <a:endParaRPr lang="en-US" sz="4800" b="1">
            <a:solidFill>
              <a:schemeClr val="bg1"/>
            </a:solidFill>
            <a:latin typeface="Berlin Sans FB" panose="020E0602020502020306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</xdr:colOff>
      <xdr:row>8</xdr:row>
      <xdr:rowOff>0</xdr:rowOff>
    </xdr:from>
    <xdr:to>
      <xdr:col>5</xdr:col>
      <xdr:colOff>609599</xdr:colOff>
      <xdr:row>13</xdr:row>
      <xdr:rowOff>163286</xdr:rowOff>
    </xdr:to>
    <xdr:sp macro="" textlink="pivot_analysis!J14">
      <xdr:nvSpPr>
        <xdr:cNvPr id="4" name="TextBox 3">
          <a:extLst>
            <a:ext uri="{FF2B5EF4-FFF2-40B4-BE49-F238E27FC236}">
              <a16:creationId xmlns:a16="http://schemas.microsoft.com/office/drawing/2014/main" id="{8B9BF001-3672-1390-B712-0ECAE35B6C79}"/>
            </a:ext>
          </a:extLst>
        </xdr:cNvPr>
        <xdr:cNvSpPr txBox="1"/>
      </xdr:nvSpPr>
      <xdr:spPr>
        <a:xfrm>
          <a:off x="228601" y="1480457"/>
          <a:ext cx="2623455" cy="1088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indent="0" algn="ctr"/>
          <a:fld id="{D268AB9A-80B5-4599-AF4B-487D7E80E089}" type="TxLink">
            <a:rPr lang="en-US" sz="48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40%</a:t>
          </a:fld>
          <a:endParaRPr lang="en-US" sz="48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</xdr:colOff>
      <xdr:row>15</xdr:row>
      <xdr:rowOff>0</xdr:rowOff>
    </xdr:from>
    <xdr:to>
      <xdr:col>6</xdr:col>
      <xdr:colOff>0</xdr:colOff>
      <xdr:row>20</xdr:row>
      <xdr:rowOff>0</xdr:rowOff>
    </xdr:to>
    <xdr:sp macro="" textlink="pivot_analysis!J15">
      <xdr:nvSpPr>
        <xdr:cNvPr id="6" name="TextBox 5">
          <a:extLst>
            <a:ext uri="{FF2B5EF4-FFF2-40B4-BE49-F238E27FC236}">
              <a16:creationId xmlns:a16="http://schemas.microsoft.com/office/drawing/2014/main" id="{8DE3DF55-8832-84A3-C240-DD720F018F32}"/>
            </a:ext>
          </a:extLst>
        </xdr:cNvPr>
        <xdr:cNvSpPr txBox="1"/>
      </xdr:nvSpPr>
      <xdr:spPr>
        <a:xfrm>
          <a:off x="228601" y="2775857"/>
          <a:ext cx="2623456" cy="9252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indent="0" algn="ctr"/>
          <a:fld id="{1EB453A9-CB28-4815-B61E-7267042C16DE}" type="TxLink">
            <a:rPr lang="en-US" sz="40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10%</a:t>
          </a:fld>
          <a:endParaRPr lang="en-US" sz="40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" refreshedDate="46292.393781365739" createdVersion="8" refreshedVersion="8" minRefreshableVersion="3" recordCount="700" xr:uid="{ABBED54D-CE26-428A-9D7E-B7B22048D533}">
  <cacheSource type="worksheet">
    <worksheetSource name="economy_score"/>
  </cacheSource>
  <cacheFields count="8">
    <cacheField name="quarter_start" numFmtId="14">
      <sharedItems containsSemiMixedTypes="0" containsNonDate="0" containsDate="1" containsString="0" minDate="1939-01-01T00:00:00" maxDate="2026-04-02T00:00:00" count="350">
        <d v="2026-04-01T00:00:00"/>
        <d v="2026-01-01T00:00:00"/>
        <d v="2025-10-01T00:00:00"/>
        <d v="2025-07-01T00:00:00"/>
        <d v="2025-04-01T00:00:00"/>
        <d v="2025-01-01T00:00:00"/>
        <d v="2024-10-01T00:00:00"/>
        <d v="2024-07-01T00:00:00"/>
        <d v="2024-04-01T00:00:00"/>
        <d v="2024-01-01T00:00:00"/>
        <d v="2023-10-01T00:00:00"/>
        <d v="2023-07-01T00:00:00"/>
        <d v="2023-04-01T00:00:00"/>
        <d v="2023-01-01T00:00:00"/>
        <d v="2022-10-01T00:00:00"/>
        <d v="2022-07-01T00:00:00"/>
        <d v="2022-04-01T00:00:00"/>
        <d v="2022-01-01T00:00:00"/>
        <d v="2021-10-01T00:00:00"/>
        <d v="2021-07-01T00:00:00"/>
        <d v="2021-04-01T00:00:00"/>
        <d v="2021-01-01T00:00:00"/>
        <d v="2020-10-01T00:00:00"/>
        <d v="2020-07-01T00:00:00"/>
        <d v="2020-04-01T00:00:00"/>
        <d v="2020-01-01T00:00:00"/>
        <d v="2019-10-01T00:00:00"/>
        <d v="2019-07-01T00:00:00"/>
        <d v="2019-04-01T00:00:00"/>
        <d v="2019-01-01T00:00:00"/>
        <d v="2018-10-01T00:00:00"/>
        <d v="2018-07-01T00:00:00"/>
        <d v="2018-04-01T00:00:00"/>
        <d v="2018-01-01T00:00:00"/>
        <d v="2017-10-01T00:00:00"/>
        <d v="2017-07-01T00:00:00"/>
        <d v="2017-04-01T00:00:00"/>
        <d v="2017-01-01T00:00:00"/>
        <d v="2016-10-01T00:00:00"/>
        <d v="2016-07-01T00:00:00"/>
        <d v="2016-04-01T00:00:00"/>
        <d v="2016-01-01T00:00:00"/>
        <d v="2015-10-01T00:00:00"/>
        <d v="2015-07-01T00:00:00"/>
        <d v="2015-04-01T00:00:00"/>
        <d v="2015-01-01T00:00:00"/>
        <d v="2014-10-01T00:00:00"/>
        <d v="2014-07-01T00:00:00"/>
        <d v="2014-04-01T00:00:00"/>
        <d v="2014-01-01T00:00:00"/>
        <d v="2013-10-01T00:00:00"/>
        <d v="2013-07-01T00:00:00"/>
        <d v="2013-04-01T00:00:00"/>
        <d v="2013-01-01T00:00:00"/>
        <d v="2012-10-01T00:00:00"/>
        <d v="2012-07-01T00:00:00"/>
        <d v="2012-04-01T00:00:00"/>
        <d v="2012-01-01T00:00:00"/>
        <d v="2011-10-01T00:00:00"/>
        <d v="2011-07-01T00:00:00"/>
        <d v="2011-04-01T00:00:00"/>
        <d v="2011-01-01T00:00:00"/>
        <d v="2010-10-01T00:00:00"/>
        <d v="2010-07-01T00:00:00"/>
        <d v="2010-04-01T00:00:00"/>
        <d v="2010-01-01T00:00:00"/>
        <d v="2009-10-01T00:00:00"/>
        <d v="2009-07-01T00:00:00"/>
        <d v="2009-04-01T00:00:00"/>
        <d v="2009-01-01T00:00:00"/>
        <d v="2008-10-01T00:00:00"/>
        <d v="2008-07-01T00:00:00"/>
        <d v="2008-04-01T00:00:00"/>
        <d v="2008-01-01T00:00:00"/>
        <d v="2007-10-01T00:00:00"/>
        <d v="2007-07-01T00:00:00"/>
        <d v="2007-04-01T00:00:00"/>
        <d v="2007-01-01T00:00:00"/>
        <d v="2006-10-01T00:00:00"/>
        <d v="2006-07-01T00:00:00"/>
        <d v="2006-04-01T00:00:00"/>
        <d v="2006-01-01T00:00:00"/>
        <d v="2005-10-01T00:00:00"/>
        <d v="2005-07-01T00:00:00"/>
        <d v="2005-04-01T00:00:00"/>
        <d v="2005-01-01T00:00:00"/>
        <d v="2004-10-01T00:00:00"/>
        <d v="2004-07-01T00:00:00"/>
        <d v="2004-04-01T00:00:00"/>
        <d v="2004-01-01T00:00:00"/>
        <d v="2003-10-01T00:00:00"/>
        <d v="2003-07-01T00:00:00"/>
        <d v="2003-04-01T00:00:00"/>
        <d v="2003-01-01T00:00:00"/>
        <d v="2002-10-01T00:00:00"/>
        <d v="2002-07-01T00:00:00"/>
        <d v="2002-04-01T00:00:00"/>
        <d v="2002-01-01T00:00:00"/>
        <d v="2001-10-01T00:00:00"/>
        <d v="2001-07-01T00:00:00"/>
        <d v="2001-04-01T00:00:00"/>
        <d v="2001-01-01T00:00:00"/>
        <d v="2000-10-01T00:00:00"/>
        <d v="2000-07-01T00:00:00"/>
        <d v="2000-04-01T00:00:00"/>
        <d v="2000-01-01T00:00:00"/>
        <d v="1999-10-01T00:00:00"/>
        <d v="1999-07-01T00:00:00"/>
        <d v="1999-04-01T00:00:00"/>
        <d v="1999-01-01T00:00:00"/>
        <d v="1998-10-01T00:00:00"/>
        <d v="1998-07-01T00:00:00"/>
        <d v="1998-04-01T00:00:00"/>
        <d v="1998-01-01T00:00:00"/>
        <d v="1997-10-01T00:00:00"/>
        <d v="1997-07-01T00:00:00"/>
        <d v="1997-04-01T00:00:00"/>
        <d v="1997-01-01T00:00:00"/>
        <d v="1996-10-01T00:00:00"/>
        <d v="1996-07-01T00:00:00"/>
        <d v="1996-04-01T00:00:00"/>
        <d v="1996-01-01T00:00:00"/>
        <d v="1995-10-01T00:00:00"/>
        <d v="1995-07-01T00:00:00"/>
        <d v="1995-04-01T00:00:00"/>
        <d v="1995-01-01T00:00:00"/>
        <d v="1994-10-01T00:00:00"/>
        <d v="1994-07-01T00:00:00"/>
        <d v="1994-04-01T00:00:00"/>
        <d v="1994-01-01T00:00:00"/>
        <d v="1993-10-01T00:00:00"/>
        <d v="1993-07-01T00:00:00"/>
        <d v="1993-04-01T00:00:00"/>
        <d v="1993-01-01T00:00:00"/>
        <d v="1992-10-01T00:00:00"/>
        <d v="1992-07-01T00:00:00"/>
        <d v="1992-04-01T00:00:00"/>
        <d v="1992-01-01T00:00:00"/>
        <d v="1991-10-01T00:00:00"/>
        <d v="1991-07-01T00:00:00"/>
        <d v="1991-04-01T00:00:00"/>
        <d v="1991-01-01T00:00:00"/>
        <d v="1990-10-01T00:00:00"/>
        <d v="1990-07-01T00:00:00"/>
        <d v="1990-04-01T00:00:00"/>
        <d v="1990-01-01T00:00:00"/>
        <d v="1989-10-01T00:00:00"/>
        <d v="1989-07-01T00:00:00"/>
        <d v="1989-04-01T00:00:00"/>
        <d v="1989-01-01T00:00:00"/>
        <d v="1988-10-01T00:00:00"/>
        <d v="1988-07-01T00:00:00"/>
        <d v="1988-04-01T00:00:00"/>
        <d v="1988-01-01T00:00:00"/>
        <d v="1987-10-01T00:00:00"/>
        <d v="1987-07-01T00:00:00"/>
        <d v="1987-04-01T00:00:00"/>
        <d v="1987-01-01T00:00:00"/>
        <d v="1986-10-01T00:00:00"/>
        <d v="1986-07-01T00:00:00"/>
        <d v="1986-04-01T00:00:00"/>
        <d v="1986-01-01T00:00:00"/>
        <d v="1985-10-01T00:00:00"/>
        <d v="1985-07-01T00:00:00"/>
        <d v="1985-04-01T00:00:00"/>
        <d v="1985-01-01T00:00:00"/>
        <d v="1984-10-01T00:00:00"/>
        <d v="1984-07-01T00:00:00"/>
        <d v="1984-04-01T00:00:00"/>
        <d v="1984-01-01T00:00:00"/>
        <d v="1983-10-01T00:00:00"/>
        <d v="1983-07-01T00:00:00"/>
        <d v="1983-04-01T00:00:00"/>
        <d v="1983-01-01T00:00:00"/>
        <d v="1982-10-01T00:00:00"/>
        <d v="1982-07-01T00:00:00"/>
        <d v="1982-04-01T00:00:00"/>
        <d v="1982-01-01T00:00:00"/>
        <d v="1981-10-01T00:00:00"/>
        <d v="1981-07-01T00:00:00"/>
        <d v="1981-04-01T00:00:00"/>
        <d v="1981-01-01T00:00:00"/>
        <d v="1980-10-01T00:00:00"/>
        <d v="1980-07-01T00:00:00"/>
        <d v="1980-04-01T00:00:00"/>
        <d v="1980-01-01T00:00:00"/>
        <d v="1979-10-01T00:00:00"/>
        <d v="1979-07-01T00:00:00"/>
        <d v="1979-04-01T00:00:00"/>
        <d v="1979-01-01T00:00:00"/>
        <d v="1978-10-01T00:00:00"/>
        <d v="1978-07-01T00:00:00"/>
        <d v="1978-04-01T00:00:00"/>
        <d v="1978-01-01T00:00:00"/>
        <d v="1977-10-01T00:00:00"/>
        <d v="1977-07-01T00:00:00"/>
        <d v="1977-04-01T00:00:00"/>
        <d v="1977-01-01T00:00:00"/>
        <d v="1976-10-01T00:00:00"/>
        <d v="1976-07-01T00:00:00"/>
        <d v="1976-04-01T00:00:00"/>
        <d v="1976-01-01T00:00:00"/>
        <d v="1975-10-01T00:00:00"/>
        <d v="1975-07-01T00:00:00"/>
        <d v="1975-04-01T00:00:00"/>
        <d v="1975-01-01T00:00:00"/>
        <d v="1974-10-01T00:00:00"/>
        <d v="1974-07-01T00:00:00"/>
        <d v="1974-04-01T00:00:00"/>
        <d v="1974-01-01T00:00:00"/>
        <d v="1973-10-01T00:00:00"/>
        <d v="1973-07-01T00:00:00"/>
        <d v="1973-04-01T00:00:00"/>
        <d v="1973-01-01T00:00:00"/>
        <d v="1972-10-01T00:00:00"/>
        <d v="1972-07-01T00:00:00"/>
        <d v="1972-04-01T00:00:00"/>
        <d v="1972-01-01T00:00:00"/>
        <d v="1971-10-01T00:00:00"/>
        <d v="1971-07-01T00:00:00"/>
        <d v="1971-04-01T00:00:00"/>
        <d v="1971-01-01T00:00:00"/>
        <d v="1970-10-01T00:00:00"/>
        <d v="1970-07-01T00:00:00"/>
        <d v="1970-04-01T00:00:00"/>
        <d v="1970-01-01T00:00:00"/>
        <d v="1969-10-01T00:00:00"/>
        <d v="1969-07-01T00:00:00"/>
        <d v="1969-04-01T00:00:00"/>
        <d v="1969-01-01T00:00:00"/>
        <d v="1968-10-01T00:00:00"/>
        <d v="1968-07-01T00:00:00"/>
        <d v="1968-04-01T00:00:00"/>
        <d v="1968-01-01T00:00:00"/>
        <d v="1967-10-01T00:00:00"/>
        <d v="1967-07-01T00:00:00"/>
        <d v="1967-04-01T00:00:00"/>
        <d v="1967-01-01T00:00:00"/>
        <d v="1966-10-01T00:00:00"/>
        <d v="1966-07-01T00:00:00"/>
        <d v="1966-04-01T00:00:00"/>
        <d v="1966-01-01T00:00:00"/>
        <d v="1965-10-01T00:00:00"/>
        <d v="1965-07-01T00:00:00"/>
        <d v="1965-04-01T00:00:00"/>
        <d v="1965-01-01T00:00:00"/>
        <d v="1964-10-01T00:00:00"/>
        <d v="1964-07-01T00:00:00"/>
        <d v="1964-04-01T00:00:00"/>
        <d v="1964-01-01T00:00:00"/>
        <d v="1963-10-01T00:00:00"/>
        <d v="1963-07-01T00:00:00"/>
        <d v="1963-04-01T00:00:00"/>
        <d v="1963-01-01T00:00:00"/>
        <d v="1962-10-01T00:00:00"/>
        <d v="1962-07-01T00:00:00"/>
        <d v="1962-04-01T00:00:00"/>
        <d v="1962-01-01T00:00:00"/>
        <d v="1961-10-01T00:00:00"/>
        <d v="1961-07-01T00:00:00"/>
        <d v="1961-04-01T00:00:00"/>
        <d v="1961-01-01T00:00:00"/>
        <d v="1960-10-01T00:00:00"/>
        <d v="1960-07-01T00:00:00"/>
        <d v="1960-04-01T00:00:00"/>
        <d v="1960-01-01T00:00:00"/>
        <d v="1959-10-01T00:00:00"/>
        <d v="1959-07-01T00:00:00"/>
        <d v="1959-04-01T00:00:00"/>
        <d v="1959-01-01T00:00:00"/>
        <d v="1958-10-01T00:00:00"/>
        <d v="1958-07-01T00:00:00"/>
        <d v="1958-04-01T00:00:00"/>
        <d v="1958-01-01T00:00:00"/>
        <d v="1957-10-01T00:00:00"/>
        <d v="1957-07-01T00:00:00"/>
        <d v="1957-04-01T00:00:00"/>
        <d v="1957-01-01T00:00:00"/>
        <d v="1956-10-01T00:00:00"/>
        <d v="1956-07-01T00:00:00"/>
        <d v="1956-04-01T00:00:00"/>
        <d v="1956-01-01T00:00:00"/>
        <d v="1955-10-01T00:00:00"/>
        <d v="1955-07-01T00:00:00"/>
        <d v="1955-04-01T00:00:00"/>
        <d v="1955-01-01T00:00:00"/>
        <d v="1954-10-01T00:00:00"/>
        <d v="1954-07-01T00:00:00"/>
        <d v="1954-04-01T00:00:00"/>
        <d v="1954-01-01T00:00:00"/>
        <d v="1953-10-01T00:00:00"/>
        <d v="1953-07-01T00:00:00"/>
        <d v="1953-04-01T00:00:00"/>
        <d v="1953-01-01T00:00:00"/>
        <d v="1952-10-01T00:00:00"/>
        <d v="1952-07-01T00:00:00"/>
        <d v="1952-04-01T00:00:00"/>
        <d v="1952-01-01T00:00:00"/>
        <d v="1951-10-01T00:00:00"/>
        <d v="1951-07-01T00:00:00"/>
        <d v="1951-04-01T00:00:00"/>
        <d v="1951-01-01T00:00:00"/>
        <d v="1950-10-01T00:00:00"/>
        <d v="1950-07-01T00:00:00"/>
        <d v="1950-04-01T00:00:00"/>
        <d v="1950-01-01T00:00:00"/>
        <d v="1949-10-01T00:00:00"/>
        <d v="1949-07-01T00:00:00"/>
        <d v="1949-04-01T00:00:00"/>
        <d v="1949-01-01T00:00:00"/>
        <d v="1948-10-01T00:00:00"/>
        <d v="1948-07-01T00:00:00"/>
        <d v="1948-04-01T00:00:00"/>
        <d v="1948-01-01T00:00:00"/>
        <d v="1947-10-01T00:00:00"/>
        <d v="1947-07-01T00:00:00"/>
        <d v="1947-04-01T00:00:00"/>
        <d v="1947-01-01T00:00:00"/>
        <d v="1946-10-01T00:00:00"/>
        <d v="1946-07-01T00:00:00"/>
        <d v="1946-04-01T00:00:00"/>
        <d v="1946-01-01T00:00:00"/>
        <d v="1945-10-01T00:00:00"/>
        <d v="1945-07-01T00:00:00"/>
        <d v="1945-04-01T00:00:00"/>
        <d v="1945-01-01T00:00:00"/>
        <d v="1944-10-01T00:00:00"/>
        <d v="1944-07-01T00:00:00"/>
        <d v="1944-04-01T00:00:00"/>
        <d v="1944-01-01T00:00:00"/>
        <d v="1943-10-01T00:00:00"/>
        <d v="1943-07-01T00:00:00"/>
        <d v="1943-04-01T00:00:00"/>
        <d v="1943-01-01T00:00:00"/>
        <d v="1942-10-01T00:00:00"/>
        <d v="1942-07-01T00:00:00"/>
        <d v="1942-04-01T00:00:00"/>
        <d v="1942-01-01T00:00:00"/>
        <d v="1941-10-01T00:00:00"/>
        <d v="1941-07-01T00:00:00"/>
        <d v="1941-04-01T00:00:00"/>
        <d v="1941-01-01T00:00:00"/>
        <d v="1940-10-01T00:00:00"/>
        <d v="1940-07-01T00:00:00"/>
        <d v="1940-04-01T00:00:00"/>
        <d v="1940-01-01T00:00:00"/>
        <d v="1939-10-01T00:00:00"/>
        <d v="1939-07-01T00:00:00"/>
        <d v="1939-04-01T00:00:00"/>
        <d v="1939-01-01T00:00:00"/>
      </sharedItems>
      <fieldGroup par="7"/>
    </cacheField>
    <cacheField name="quarter_label" numFmtId="0">
      <sharedItems count="350">
        <s v="Q2 2026"/>
        <s v="Q1 2026"/>
        <s v="Q4 2025"/>
        <s v="Q3 2025"/>
        <s v="Q2 2025"/>
        <s v="Q1 2025"/>
        <s v="Q4 2024"/>
        <s v="Q3 2024"/>
        <s v="Q2 2024"/>
        <s v="Q1 2024"/>
        <s v="Q4 2023"/>
        <s v="Q3 2023"/>
        <s v="Q2 2023"/>
        <s v="Q1 2023"/>
        <s v="Q4 2022"/>
        <s v="Q3 2022"/>
        <s v="Q2 2022"/>
        <s v="Q1 2022"/>
        <s v="Q4 2021"/>
        <s v="Q3 2021"/>
        <s v="Q2 2021"/>
        <s v="Q1 2021"/>
        <s v="Q4 2020"/>
        <s v="Q3 2020"/>
        <s v="Q2 2020"/>
        <s v="Q1 2020"/>
        <s v="Q4 2019"/>
        <s v="Q3 2019"/>
        <s v="Q2 2019"/>
        <s v="Q1 2019"/>
        <s v="Q4 2018"/>
        <s v="Q3 2018"/>
        <s v="Q2 2018"/>
        <s v="Q1 2018"/>
        <s v="Q4 2017"/>
        <s v="Q3 2017"/>
        <s v="Q2 2017"/>
        <s v="Q1 2017"/>
        <s v="Q4 2016"/>
        <s v="Q3 2016"/>
        <s v="Q2 2016"/>
        <s v="Q1 2016"/>
        <s v="Q4 2015"/>
        <s v="Q3 2015"/>
        <s v="Q2 2015"/>
        <s v="Q1 2015"/>
        <s v="Q4 2014"/>
        <s v="Q3 2014"/>
        <s v="Q2 2014"/>
        <s v="Q1 2014"/>
        <s v="Q4 2013"/>
        <s v="Q3 2013"/>
        <s v="Q2 2013"/>
        <s v="Q1 2013"/>
        <s v="Q4 2012"/>
        <s v="Q3 2012"/>
        <s v="Q2 2012"/>
        <s v="Q1 2012"/>
        <s v="Q4 2011"/>
        <s v="Q3 2011"/>
        <s v="Q2 2011"/>
        <s v="Q1 2011"/>
        <s v="Q4 2010"/>
        <s v="Q3 2010"/>
        <s v="Q2 2010"/>
        <s v="Q1 2010"/>
        <s v="Q4 2009"/>
        <s v="Q3 2009"/>
        <s v="Q2 2009"/>
        <s v="Q1 2009"/>
        <s v="Q4 2008"/>
        <s v="Q3 2008"/>
        <s v="Q2 2008"/>
        <s v="Q1 2008"/>
        <s v="Q4 2007"/>
        <s v="Q3 2007"/>
        <s v="Q2 2007"/>
        <s v="Q1 2007"/>
        <s v="Q4 2006"/>
        <s v="Q3 2006"/>
        <s v="Q2 2006"/>
        <s v="Q1 2006"/>
        <s v="Q4 2005"/>
        <s v="Q3 2005"/>
        <s v="Q2 2005"/>
        <s v="Q1 2005"/>
        <s v="Q4 2004"/>
        <s v="Q3 2004"/>
        <s v="Q2 2004"/>
        <s v="Q1 2004"/>
        <s v="Q4 2003"/>
        <s v="Q3 2003"/>
        <s v="Q2 2003"/>
        <s v="Q1 2003"/>
        <s v="Q4 2002"/>
        <s v="Q3 2002"/>
        <s v="Q2 2002"/>
        <s v="Q1 2002"/>
        <s v="Q4 2001"/>
        <s v="Q3 2001"/>
        <s v="Q2 2001"/>
        <s v="Q1 2001"/>
        <s v="Q4 2000"/>
        <s v="Q3 2000"/>
        <s v="Q2 2000"/>
        <s v="Q1 2000"/>
        <s v="Q4 1999"/>
        <s v="Q3 1999"/>
        <s v="Q2 1999"/>
        <s v="Q1 1999"/>
        <s v="Q4 1998"/>
        <s v="Q3 1998"/>
        <s v="Q2 1998"/>
        <s v="Q1 1998"/>
        <s v="Q4 1997"/>
        <s v="Q3 1997"/>
        <s v="Q2 1997"/>
        <s v="Q1 1997"/>
        <s v="Q4 1996"/>
        <s v="Q3 1996"/>
        <s v="Q2 1996"/>
        <s v="Q1 1996"/>
        <s v="Q4 1995"/>
        <s v="Q3 1995"/>
        <s v="Q2 1995"/>
        <s v="Q1 1995"/>
        <s v="Q4 1994"/>
        <s v="Q3 1994"/>
        <s v="Q2 1994"/>
        <s v="Q1 1994"/>
        <s v="Q4 1993"/>
        <s v="Q3 1993"/>
        <s v="Q2 1993"/>
        <s v="Q1 1993"/>
        <s v="Q4 1992"/>
        <s v="Q3 1992"/>
        <s v="Q2 1992"/>
        <s v="Q1 1992"/>
        <s v="Q4 1991"/>
        <s v="Q3 1991"/>
        <s v="Q2 1991"/>
        <s v="Q1 1991"/>
        <s v="Q4 1990"/>
        <s v="Q3 1990"/>
        <s v="Q2 1990"/>
        <s v="Q1 1990"/>
        <s v="Q4 1989"/>
        <s v="Q3 1989"/>
        <s v="Q2 1989"/>
        <s v="Q1 1989"/>
        <s v="Q4 1988"/>
        <s v="Q3 1988"/>
        <s v="Q2 1988"/>
        <s v="Q1 1988"/>
        <s v="Q4 1987"/>
        <s v="Q3 1987"/>
        <s v="Q2 1987"/>
        <s v="Q1 1987"/>
        <s v="Q4 1986"/>
        <s v="Q3 1986"/>
        <s v="Q2 1986"/>
        <s v="Q1 1986"/>
        <s v="Q4 1985"/>
        <s v="Q3 1985"/>
        <s v="Q2 1985"/>
        <s v="Q1 1985"/>
        <s v="Q4 1984"/>
        <s v="Q3 1984"/>
        <s v="Q2 1984"/>
        <s v="Q1 1984"/>
        <s v="Q4 1983"/>
        <s v="Q3 1983"/>
        <s v="Q2 1983"/>
        <s v="Q1 1983"/>
        <s v="Q4 1982"/>
        <s v="Q3 1982"/>
        <s v="Q2 1982"/>
        <s v="Q1 1982"/>
        <s v="Q4 1981"/>
        <s v="Q3 1981"/>
        <s v="Q2 1981"/>
        <s v="Q1 1981"/>
        <s v="Q4 1980"/>
        <s v="Q3 1980"/>
        <s v="Q2 1980"/>
        <s v="Q1 1980"/>
        <s v="Q4 1979"/>
        <s v="Q3 1979"/>
        <s v="Q2 1979"/>
        <s v="Q1 1979"/>
        <s v="Q4 1978"/>
        <s v="Q3 1978"/>
        <s v="Q2 1978"/>
        <s v="Q1 1978"/>
        <s v="Q4 1977"/>
        <s v="Q3 1977"/>
        <s v="Q2 1977"/>
        <s v="Q1 1977"/>
        <s v="Q4 1976"/>
        <s v="Q3 1976"/>
        <s v="Q2 1976"/>
        <s v="Q1 1976"/>
        <s v="Q4 1975"/>
        <s v="Q3 1975"/>
        <s v="Q2 1975"/>
        <s v="Q1 1975"/>
        <s v="Q4 1974"/>
        <s v="Q3 1974"/>
        <s v="Q2 1974"/>
        <s v="Q1 1974"/>
        <s v="Q4 1973"/>
        <s v="Q3 1973"/>
        <s v="Q2 1973"/>
        <s v="Q1 1973"/>
        <s v="Q4 1972"/>
        <s v="Q3 1972"/>
        <s v="Q2 1972"/>
        <s v="Q1 1972"/>
        <s v="Q4 1971"/>
        <s v="Q3 1971"/>
        <s v="Q2 1971"/>
        <s v="Q1 1971"/>
        <s v="Q4 1970"/>
        <s v="Q3 1970"/>
        <s v="Q2 1970"/>
        <s v="Q1 1970"/>
        <s v="Q4 1969"/>
        <s v="Q3 1969"/>
        <s v="Q2 1969"/>
        <s v="Q1 1969"/>
        <s v="Q4 1968"/>
        <s v="Q3 1968"/>
        <s v="Q2 1968"/>
        <s v="Q1 1968"/>
        <s v="Q4 1967"/>
        <s v="Q3 1967"/>
        <s v="Q2 1967"/>
        <s v="Q1 1967"/>
        <s v="Q4 1966"/>
        <s v="Q3 1966"/>
        <s v="Q2 1966"/>
        <s v="Q1 1966"/>
        <s v="Q4 1965"/>
        <s v="Q3 1965"/>
        <s v="Q2 1965"/>
        <s v="Q1 1965"/>
        <s v="Q4 1964"/>
        <s v="Q3 1964"/>
        <s v="Q2 1964"/>
        <s v="Q1 1964"/>
        <s v="Q4 1963"/>
        <s v="Q3 1963"/>
        <s v="Q2 1963"/>
        <s v="Q1 1963"/>
        <s v="Q4 1962"/>
        <s v="Q3 1962"/>
        <s v="Q2 1962"/>
        <s v="Q1 1962"/>
        <s v="Q4 1961"/>
        <s v="Q3 1961"/>
        <s v="Q2 1961"/>
        <s v="Q1 1961"/>
        <s v="Q4 1960"/>
        <s v="Q3 1960"/>
        <s v="Q2 1960"/>
        <s v="Q1 1960"/>
        <s v="Q4 1959"/>
        <s v="Q3 1959"/>
        <s v="Q2 1959"/>
        <s v="Q1 1959"/>
        <s v="Q4 1958"/>
        <s v="Q3 1958"/>
        <s v="Q2 1958"/>
        <s v="Q1 1958"/>
        <s v="Q4 1957"/>
        <s v="Q3 1957"/>
        <s v="Q2 1957"/>
        <s v="Q1 1957"/>
        <s v="Q4 1956"/>
        <s v="Q3 1956"/>
        <s v="Q2 1956"/>
        <s v="Q1 1956"/>
        <s v="Q4 1955"/>
        <s v="Q3 1955"/>
        <s v="Q2 1955"/>
        <s v="Q1 1955"/>
        <s v="Q4 1954"/>
        <s v="Q3 1954"/>
        <s v="Q2 1954"/>
        <s v="Q1 1954"/>
        <s v="Q4 1953"/>
        <s v="Q3 1953"/>
        <s v="Q2 1953"/>
        <s v="Q1 1953"/>
        <s v="Q4 1952"/>
        <s v="Q3 1952"/>
        <s v="Q2 1952"/>
        <s v="Q1 1952"/>
        <s v="Q4 1951"/>
        <s v="Q3 1951"/>
        <s v="Q2 1951"/>
        <s v="Q1 1951"/>
        <s v="Q4 1950"/>
        <s v="Q3 1950"/>
        <s v="Q2 1950"/>
        <s v="Q1 1950"/>
        <s v="Q4 1949"/>
        <s v="Q3 1949"/>
        <s v="Q2 1949"/>
        <s v="Q1 1949"/>
        <s v="Q4 1948"/>
        <s v="Q3 1948"/>
        <s v="Q2 1948"/>
        <s v="Q1 1948"/>
        <s v="Q4 1947"/>
        <s v="Q3 1947"/>
        <s v="Q2 1947"/>
        <s v="Q1 1947"/>
        <s v="Q4 1946"/>
        <s v="Q3 1946"/>
        <s v="Q2 1946"/>
        <s v="Q1 1946"/>
        <s v="Q4 1945"/>
        <s v="Q3 1945"/>
        <s v="Q2 1945"/>
        <s v="Q1 1945"/>
        <s v="Q4 1944"/>
        <s v="Q3 1944"/>
        <s v="Q2 1944"/>
        <s v="Q1 1944"/>
        <s v="Q4 1943"/>
        <s v="Q3 1943"/>
        <s v="Q2 1943"/>
        <s v="Q1 1943"/>
        <s v="Q4 1942"/>
        <s v="Q3 1942"/>
        <s v="Q2 1942"/>
        <s v="Q1 1942"/>
        <s v="Q4 1941"/>
        <s v="Q3 1941"/>
        <s v="Q2 1941"/>
        <s v="Q1 1941"/>
        <s v="Q4 1940"/>
        <s v="Q3 1940"/>
        <s v="Q2 1940"/>
        <s v="Q1 1940"/>
        <s v="Q4 1939"/>
        <s v="Q3 1939"/>
        <s v="Q2 1939"/>
        <s v="Q1 1939"/>
      </sharedItems>
    </cacheField>
    <cacheField name="economic_score" numFmtId="0">
      <sharedItems containsSemiMixedTypes="0" containsString="0" containsNumber="1" containsInteger="1" minValue="0" maxValue="80"/>
    </cacheField>
    <cacheField name="indicator_used" numFmtId="0">
      <sharedItems containsSemiMixedTypes="0" containsString="0" containsNumber="1" containsInteger="1" minValue="1" maxValue="9"/>
    </cacheField>
    <cacheField name="Recession Target" numFmtId="0">
      <sharedItems containsSemiMixedTypes="0" containsString="0" containsNumber="1" containsInteger="1" minValue="40" maxValue="300" count="2">
        <n v="40"/>
        <n v="300"/>
      </sharedItems>
    </cacheField>
    <cacheField name="Months (quarter_start)" numFmtId="0" databaseField="0">
      <fieldGroup base="0">
        <rangePr groupBy="months" startDate="1939-01-01T00:00:00" endDate="2026-04-02T00:00:00"/>
        <groupItems count="14">
          <s v="&lt;1/1/193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2/2026"/>
        </groupItems>
      </fieldGroup>
    </cacheField>
    <cacheField name="Quarters (quarter_start)" numFmtId="0" databaseField="0">
      <fieldGroup base="0">
        <rangePr groupBy="quarters" startDate="1939-01-01T00:00:00" endDate="2026-04-02T00:00:00"/>
        <groupItems count="6">
          <s v="&lt;1/1/1939"/>
          <s v="Qtr1"/>
          <s v="Qtr2"/>
          <s v="Qtr3"/>
          <s v="Qtr4"/>
          <s v="&gt;4/2/2026"/>
        </groupItems>
      </fieldGroup>
    </cacheField>
    <cacheField name="Years (quarter_start)" numFmtId="0" databaseField="0">
      <fieldGroup base="0">
        <rangePr groupBy="years" startDate="1939-01-01T00:00:00" endDate="2026-04-02T00:00:00"/>
        <groupItems count="90">
          <s v="&lt;1/1/1939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4/2/2026"/>
        </groupItems>
      </fieldGroup>
    </cacheField>
  </cacheFields>
  <extLst>
    <ext xmlns:x14="http://schemas.microsoft.com/office/spreadsheetml/2009/9/main" uri="{725AE2AE-9491-48be-B2B4-4EB974FC3084}">
      <x14:pivotCacheDefinition pivotCacheId="203951514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" refreshedDate="46292.494301388891" createdVersion="8" refreshedVersion="8" minRefreshableVersion="3" recordCount="2226" xr:uid="{29B88008-06E8-4CC7-8C16-23E732A8DE6D}">
  <cacheSource type="worksheet">
    <worksheetSource name="data_quarterly_yoy_growth"/>
  </cacheSource>
  <cacheFields count="8">
    <cacheField name="series_key" numFmtId="0">
      <sharedItems/>
    </cacheField>
    <cacheField name="indicator_name" numFmtId="0">
      <sharedItems count="9">
        <s v="Real GDP"/>
        <s v="Core CPI"/>
        <s v="Core PPI (finished goods)"/>
        <s v="Federal funds rate"/>
        <s v="Retail sales"/>
        <s v="Trade balance"/>
        <s v="Consumer sentiment"/>
        <s v="Nonfarm payrolls"/>
        <s v="Unemployment rate"/>
      </sharedItems>
    </cacheField>
    <cacheField name="quarter_start" numFmtId="14">
      <sharedItems containsSemiMixedTypes="0" containsNonDate="0" containsDate="1" containsString="0" minDate="1939-01-01T00:00:00" maxDate="2026-04-02T00:00:00" count="350">
        <d v="1947-01-01T00:00:00"/>
        <d v="1947-04-01T00:00:00"/>
        <d v="1947-07-01T00:00:00"/>
        <d v="1947-10-01T00:00:00"/>
        <d v="1948-01-01T00:00:00"/>
        <d v="1948-04-01T00:00:00"/>
        <d v="1948-07-01T00:00:00"/>
        <d v="1948-10-01T00:00:00"/>
        <d v="1949-01-01T00:00:00"/>
        <d v="1949-04-01T00:00:00"/>
        <d v="1949-07-01T00:00:00"/>
        <d v="1949-10-01T00:00:00"/>
        <d v="1950-01-01T00:00:00"/>
        <d v="1950-04-01T00:00:00"/>
        <d v="1950-07-01T00:00:00"/>
        <d v="1950-10-01T00:00:00"/>
        <d v="1951-01-01T00:00:00"/>
        <d v="1951-04-01T00:00:00"/>
        <d v="1951-07-01T00:00:00"/>
        <d v="1951-10-01T00:00:00"/>
        <d v="1952-01-01T00:00:00"/>
        <d v="1952-04-01T00:00:00"/>
        <d v="1952-07-01T00:00:00"/>
        <d v="1952-10-01T00:00:00"/>
        <d v="1953-01-01T00:00:00"/>
        <d v="1953-04-01T00:00:00"/>
        <d v="1953-07-01T00:00:00"/>
        <d v="1953-10-01T00:00:00"/>
        <d v="1954-01-01T00:00:00"/>
        <d v="1954-04-01T00:00:00"/>
        <d v="1954-07-01T00:00:00"/>
        <d v="1954-10-01T00:00:00"/>
        <d v="1955-01-01T00:00:00"/>
        <d v="1955-04-01T00:00:00"/>
        <d v="1955-07-01T00:00:00"/>
        <d v="1955-10-01T00:00:00"/>
        <d v="1956-01-01T00:00:00"/>
        <d v="1956-04-01T00:00:00"/>
        <d v="1956-07-01T00:00:00"/>
        <d v="1956-10-01T00:00:00"/>
        <d v="1957-01-01T00:00:00"/>
        <d v="1957-04-01T00:00:00"/>
        <d v="1957-07-01T00:00:00"/>
        <d v="1957-10-01T00:00:00"/>
        <d v="1958-01-01T00:00:00"/>
        <d v="1958-04-01T00:00:00"/>
        <d v="1958-07-01T00:00:00"/>
        <d v="1958-10-01T00:00:00"/>
        <d v="1959-01-01T00:00:00"/>
        <d v="1959-04-01T00:00:00"/>
        <d v="1959-07-01T00:00:00"/>
        <d v="1959-10-01T00:00:00"/>
        <d v="1960-01-01T00:00:00"/>
        <d v="1960-04-01T00:00:00"/>
        <d v="1960-07-01T00:00:00"/>
        <d v="1960-10-01T00:00:00"/>
        <d v="1961-01-01T00:00:00"/>
        <d v="1961-04-01T00:00:00"/>
        <d v="1961-07-01T00:00:00"/>
        <d v="1961-10-01T00:00:00"/>
        <d v="1962-01-01T00:00:00"/>
        <d v="1962-04-01T00:00:00"/>
        <d v="1962-07-01T00:00:00"/>
        <d v="1962-10-01T00:00:00"/>
        <d v="1963-01-01T00:00:00"/>
        <d v="1963-04-01T00:00:00"/>
        <d v="1963-07-01T00:00:00"/>
        <d v="1963-10-01T00:00:00"/>
        <d v="1964-01-01T00:00:00"/>
        <d v="1964-04-01T00:00:00"/>
        <d v="1964-07-01T00:00:00"/>
        <d v="1964-10-01T00:00:00"/>
        <d v="1965-01-01T00:00:00"/>
        <d v="1965-04-01T00:00:00"/>
        <d v="1965-07-01T00:00:00"/>
        <d v="1965-10-01T00:00:00"/>
        <d v="1966-01-01T00:00:00"/>
        <d v="1966-04-01T00:00:00"/>
        <d v="1966-07-01T00:00:00"/>
        <d v="1966-10-01T00:00:00"/>
        <d v="1967-01-01T00:00:00"/>
        <d v="1967-04-01T00:00:00"/>
        <d v="1967-07-01T00:00:00"/>
        <d v="1967-10-01T00:00:00"/>
        <d v="1968-01-01T00:00:00"/>
        <d v="1968-04-01T00:00:00"/>
        <d v="1968-07-01T00:00:00"/>
        <d v="1968-10-01T00:00:00"/>
        <d v="1969-01-01T00:00:00"/>
        <d v="1969-04-01T00:00:00"/>
        <d v="1969-07-01T00:00:00"/>
        <d v="1969-10-01T00:00:00"/>
        <d v="1970-01-01T00:00:00"/>
        <d v="1970-04-01T00:00:00"/>
        <d v="1970-07-01T00:00:00"/>
        <d v="1970-10-01T00:00:00"/>
        <d v="1971-01-01T00:00:00"/>
        <d v="1971-04-01T00:00:00"/>
        <d v="1971-07-01T00:00:00"/>
        <d v="1971-10-01T00:00:00"/>
        <d v="1972-01-01T00:00:00"/>
        <d v="1972-04-01T00:00:00"/>
        <d v="1972-07-01T00:00:00"/>
        <d v="1972-10-01T00:00:00"/>
        <d v="1973-01-01T00:00:00"/>
        <d v="1973-04-01T00:00:00"/>
        <d v="1973-07-01T00:00:00"/>
        <d v="1973-10-01T00:00:00"/>
        <d v="1974-01-01T00:00:00"/>
        <d v="1974-04-01T00:00:00"/>
        <d v="1974-07-01T00:00:00"/>
        <d v="1974-10-01T00:00:00"/>
        <d v="1975-01-01T00:00:00"/>
        <d v="1975-04-01T00:00:00"/>
        <d v="1975-07-01T00:00:00"/>
        <d v="1975-10-01T00:00:00"/>
        <d v="1976-01-01T00:00:00"/>
        <d v="1976-04-01T00:00:00"/>
        <d v="1976-07-01T00:00:00"/>
        <d v="1976-10-01T00:00:00"/>
        <d v="1977-01-01T00:00:00"/>
        <d v="1977-04-01T00:00:00"/>
        <d v="1977-07-01T00:00:00"/>
        <d v="1977-10-01T00:00:00"/>
        <d v="1978-01-01T00:00:00"/>
        <d v="1978-04-01T00:00:00"/>
        <d v="1978-07-01T00:00:00"/>
        <d v="1978-10-01T00:00:00"/>
        <d v="1979-01-01T00:00:00"/>
        <d v="1979-04-01T00:00:00"/>
        <d v="1979-07-01T00:00:00"/>
        <d v="1979-10-01T00:00:00"/>
        <d v="1980-01-01T00:00:00"/>
        <d v="1980-04-01T00:00:00"/>
        <d v="1980-07-01T00:00:00"/>
        <d v="1980-10-01T00:00:00"/>
        <d v="1981-01-01T00:00:00"/>
        <d v="1981-04-01T00:00:00"/>
        <d v="1981-07-01T00:00:00"/>
        <d v="1981-10-01T00:00:00"/>
        <d v="1982-01-01T00:00:00"/>
        <d v="1982-04-01T00:00:00"/>
        <d v="1982-07-01T00:00:00"/>
        <d v="1982-10-01T00:00:00"/>
        <d v="1983-01-01T00:00:00"/>
        <d v="1983-04-01T00:00:00"/>
        <d v="1983-07-01T00:00:00"/>
        <d v="1983-10-01T00:00:00"/>
        <d v="1984-01-01T00:00:00"/>
        <d v="1984-04-01T00:00:00"/>
        <d v="1984-07-01T00:00:00"/>
        <d v="1984-10-01T00:00:00"/>
        <d v="1985-01-01T00:00:00"/>
        <d v="1985-04-01T00:00:00"/>
        <d v="1985-07-01T00:00:00"/>
        <d v="1985-10-01T00:00:00"/>
        <d v="1986-01-01T00:00:00"/>
        <d v="1986-04-01T00:00:00"/>
        <d v="1986-07-01T00:00:00"/>
        <d v="1986-10-01T00:00:00"/>
        <d v="1987-01-01T00:00:00"/>
        <d v="1987-04-01T00:00:00"/>
        <d v="1987-07-01T00:00:00"/>
        <d v="1987-10-01T00:00:00"/>
        <d v="1988-01-01T00:00:00"/>
        <d v="1988-04-01T00:00:00"/>
        <d v="1988-07-01T00:00:00"/>
        <d v="1988-10-01T00:00:00"/>
        <d v="1989-01-01T00:00:00"/>
        <d v="1989-04-01T00:00:00"/>
        <d v="1989-07-01T00:00:00"/>
        <d v="1989-10-01T00:00:00"/>
        <d v="1990-01-01T00:00:00"/>
        <d v="1990-04-01T00:00:00"/>
        <d v="1990-07-01T00:00:00"/>
        <d v="1990-10-01T00:00:00"/>
        <d v="1991-01-01T00:00:00"/>
        <d v="1991-04-01T00:00:00"/>
        <d v="1991-07-01T00:00:00"/>
        <d v="1991-10-01T00:00:00"/>
        <d v="1992-01-01T00:00:00"/>
        <d v="1992-04-01T00:00:00"/>
        <d v="1992-07-01T00:00:00"/>
        <d v="1992-10-01T00:00:00"/>
        <d v="1993-01-01T00:00:00"/>
        <d v="1993-04-01T00:00:00"/>
        <d v="1993-07-01T00:00:00"/>
        <d v="1993-10-01T00:00:00"/>
        <d v="1994-01-01T00:00:00"/>
        <d v="1994-04-01T00:00:00"/>
        <d v="1994-07-01T00:00:00"/>
        <d v="1994-10-01T00:00:00"/>
        <d v="1995-01-01T00:00:00"/>
        <d v="1995-04-01T00:00:00"/>
        <d v="1995-07-01T00:00:00"/>
        <d v="1995-10-01T00:00:00"/>
        <d v="1996-01-01T00:00:00"/>
        <d v="1996-04-01T00:00:00"/>
        <d v="1996-07-01T00:00:00"/>
        <d v="1996-10-01T00:00:00"/>
        <d v="1997-01-01T00:00:00"/>
        <d v="1997-04-01T00:00:00"/>
        <d v="1997-07-01T00:00:00"/>
        <d v="1997-10-01T00:00:00"/>
        <d v="1998-01-01T00:00:00"/>
        <d v="1998-04-01T00:00:00"/>
        <d v="1998-07-01T00:00:00"/>
        <d v="1998-10-01T00:00:00"/>
        <d v="1999-01-01T00:00:00"/>
        <d v="1999-04-01T00:00:00"/>
        <d v="1999-07-01T00:00:00"/>
        <d v="1999-10-01T00:00:00"/>
        <d v="2000-01-01T00:00:00"/>
        <d v="2000-04-01T00:00:00"/>
        <d v="2000-07-01T00:00:00"/>
        <d v="2000-10-01T00:00:00"/>
        <d v="2001-01-01T00:00:00"/>
        <d v="2001-04-01T00:00:00"/>
        <d v="2001-07-01T00:00:00"/>
        <d v="2001-10-01T00:00:00"/>
        <d v="2002-01-01T00:00:00"/>
        <d v="2002-04-01T00:00:00"/>
        <d v="2002-07-01T00:00:00"/>
        <d v="2002-10-01T00:00:00"/>
        <d v="2003-01-01T00:00:00"/>
        <d v="2003-04-01T00:00:00"/>
        <d v="2003-07-01T00:00:00"/>
        <d v="2003-10-01T00:00:00"/>
        <d v="2004-01-01T00:00:00"/>
        <d v="2004-04-01T00:00:00"/>
        <d v="2004-07-01T00:00:00"/>
        <d v="2004-10-01T00:00:00"/>
        <d v="2005-01-01T00:00:00"/>
        <d v="2005-04-01T00:00:00"/>
        <d v="2005-07-01T00:00:00"/>
        <d v="2005-10-01T00:00:00"/>
        <d v="2006-01-01T00:00:00"/>
        <d v="2006-04-01T00:00:00"/>
        <d v="2006-07-01T00:00:00"/>
        <d v="2006-10-01T00:00:00"/>
        <d v="2007-01-01T00:00:00"/>
        <d v="2007-04-01T00:00:00"/>
        <d v="2007-07-01T00:00:00"/>
        <d v="2007-10-01T00:00:00"/>
        <d v="2008-01-01T00:00:00"/>
        <d v="2008-04-01T00:00:00"/>
        <d v="2008-07-01T00:00:00"/>
        <d v="2008-10-01T00:00:00"/>
        <d v="2009-01-01T00:00:00"/>
        <d v="2009-04-01T00:00:00"/>
        <d v="2009-07-01T00:00:00"/>
        <d v="2009-10-01T00:00:00"/>
        <d v="2010-01-01T00:00:00"/>
        <d v="2010-04-01T00:00:00"/>
        <d v="2010-07-01T00:00:00"/>
        <d v="2010-10-01T00:00:00"/>
        <d v="2011-01-01T00:00:00"/>
        <d v="2011-04-01T00:00:00"/>
        <d v="2011-07-01T00:00:00"/>
        <d v="2011-10-01T00:00:00"/>
        <d v="2012-01-01T00:00:00"/>
        <d v="2012-04-01T00:00:00"/>
        <d v="2012-07-01T00:00:00"/>
        <d v="2012-10-01T00:00:00"/>
        <d v="2013-01-01T00:00:00"/>
        <d v="2013-04-01T00:00:00"/>
        <d v="2013-07-01T00:00:00"/>
        <d v="2013-10-01T00:00:00"/>
        <d v="2014-01-01T00:00:00"/>
        <d v="2014-04-01T00:00:00"/>
        <d v="2014-07-01T00:00:00"/>
        <d v="2014-10-01T00:00:00"/>
        <d v="2015-01-01T00:00:00"/>
        <d v="2015-04-01T00:00:00"/>
        <d v="2015-07-01T00:00:00"/>
        <d v="2015-10-01T00:00:00"/>
        <d v="2016-01-01T00:00:00"/>
        <d v="2016-04-01T00:00:00"/>
        <d v="2016-07-01T00:00:00"/>
        <d v="2016-10-01T00:00:00"/>
        <d v="2017-01-01T00:00:00"/>
        <d v="2017-04-01T00:00:00"/>
        <d v="2017-07-01T00:00:00"/>
        <d v="2017-10-01T00:00:00"/>
        <d v="2018-01-01T00:00:00"/>
        <d v="2018-04-01T00:00:00"/>
        <d v="2018-07-01T00:00:00"/>
        <d v="2018-10-01T00:00:00"/>
        <d v="2019-01-01T00:00:00"/>
        <d v="2019-04-01T00:00:00"/>
        <d v="2019-07-01T00:00:00"/>
        <d v="2019-10-01T00:00:00"/>
        <d v="2020-01-01T00:00:00"/>
        <d v="2020-04-01T00:00:00"/>
        <d v="2020-07-01T00:00:00"/>
        <d v="2020-10-01T00:00:00"/>
        <d v="2021-01-01T00:00:00"/>
        <d v="2021-04-01T00:00:00"/>
        <d v="2021-07-01T00:00:00"/>
        <d v="2021-10-01T00:00:00"/>
        <d v="2022-01-01T00:00:00"/>
        <d v="2022-04-01T00:00:00"/>
        <d v="2022-07-01T00:00:00"/>
        <d v="2022-10-01T00:00:00"/>
        <d v="2023-01-01T00:00:00"/>
        <d v="2023-04-01T00:00:00"/>
        <d v="2023-07-01T00:00:00"/>
        <d v="2023-10-01T00:00:00"/>
        <d v="2024-01-01T00:00:00"/>
        <d v="2024-04-01T00:00:00"/>
        <d v="2024-07-01T00:00:00"/>
        <d v="2024-10-01T00:00:00"/>
        <d v="2025-01-01T00:00:00"/>
        <d v="2025-04-01T00:00:00"/>
        <d v="2025-07-01T00:00:00"/>
        <d v="2025-10-01T00:00:00"/>
        <d v="2026-01-01T00:00:00"/>
        <d v="2026-04-01T00:00:00"/>
        <d v="1939-01-01T00:00:00"/>
        <d v="1939-04-01T00:00:00"/>
        <d v="1939-07-01T00:00:00"/>
        <d v="1939-10-01T00:00:00"/>
        <d v="1940-01-01T00:00:00"/>
        <d v="1940-04-01T00:00:00"/>
        <d v="1940-07-01T00:00:00"/>
        <d v="1940-10-01T00:00:00"/>
        <d v="1941-01-01T00:00:00"/>
        <d v="1941-04-01T00:00:00"/>
        <d v="1941-07-01T00:00:00"/>
        <d v="1941-10-01T00:00:00"/>
        <d v="1942-01-01T00:00:00"/>
        <d v="1942-04-01T00:00:00"/>
        <d v="1942-07-01T00:00:00"/>
        <d v="1942-10-01T00:00:00"/>
        <d v="1943-01-01T00:00:00"/>
        <d v="1943-04-01T00:00:00"/>
        <d v="1943-07-01T00:00:00"/>
        <d v="1943-10-01T00:00:00"/>
        <d v="1944-01-01T00:00:00"/>
        <d v="1944-04-01T00:00:00"/>
        <d v="1944-07-01T00:00:00"/>
        <d v="1944-10-01T00:00:00"/>
        <d v="1945-01-01T00:00:00"/>
        <d v="1945-04-01T00:00:00"/>
        <d v="1945-07-01T00:00:00"/>
        <d v="1945-10-01T00:00:00"/>
        <d v="1946-01-01T00:00:00"/>
        <d v="1946-04-01T00:00:00"/>
        <d v="1946-07-01T00:00:00"/>
        <d v="1946-10-01T00:00:00"/>
      </sharedItems>
      <fieldGroup par="7"/>
    </cacheField>
    <cacheField name="quarter_label" numFmtId="0">
      <sharedItems count="350">
        <s v="Q1 1947"/>
        <s v="Q2 1947"/>
        <s v="Q3 1947"/>
        <s v="Q4 1947"/>
        <s v="Q1 1948"/>
        <s v="Q2 1948"/>
        <s v="Q3 1948"/>
        <s v="Q4 1948"/>
        <s v="Q1 1949"/>
        <s v="Q2 1949"/>
        <s v="Q3 1949"/>
        <s v="Q4 1949"/>
        <s v="Q1 1950"/>
        <s v="Q2 1950"/>
        <s v="Q3 1950"/>
        <s v="Q4 1950"/>
        <s v="Q1 1951"/>
        <s v="Q2 1951"/>
        <s v="Q3 1951"/>
        <s v="Q4 1951"/>
        <s v="Q1 1952"/>
        <s v="Q2 1952"/>
        <s v="Q3 1952"/>
        <s v="Q4 1952"/>
        <s v="Q1 1953"/>
        <s v="Q2 1953"/>
        <s v="Q3 1953"/>
        <s v="Q4 1953"/>
        <s v="Q1 1954"/>
        <s v="Q2 1954"/>
        <s v="Q3 1954"/>
        <s v="Q4 1954"/>
        <s v="Q1 1955"/>
        <s v="Q2 1955"/>
        <s v="Q3 1955"/>
        <s v="Q4 1955"/>
        <s v="Q1 1956"/>
        <s v="Q2 1956"/>
        <s v="Q3 1956"/>
        <s v="Q4 1956"/>
        <s v="Q1 1957"/>
        <s v="Q2 1957"/>
        <s v="Q3 1957"/>
        <s v="Q4 1957"/>
        <s v="Q1 1958"/>
        <s v="Q2 1958"/>
        <s v="Q3 1958"/>
        <s v="Q4 1958"/>
        <s v="Q1 1959"/>
        <s v="Q2 1959"/>
        <s v="Q3 1959"/>
        <s v="Q4 1959"/>
        <s v="Q1 1960"/>
        <s v="Q2 1960"/>
        <s v="Q3 1960"/>
        <s v="Q4 1960"/>
        <s v="Q1 1961"/>
        <s v="Q2 1961"/>
        <s v="Q3 1961"/>
        <s v="Q4 1961"/>
        <s v="Q1 1962"/>
        <s v="Q2 1962"/>
        <s v="Q3 1962"/>
        <s v="Q4 1962"/>
        <s v="Q1 1963"/>
        <s v="Q2 1963"/>
        <s v="Q3 1963"/>
        <s v="Q4 1963"/>
        <s v="Q1 1964"/>
        <s v="Q2 1964"/>
        <s v="Q3 1964"/>
        <s v="Q4 1964"/>
        <s v="Q1 1965"/>
        <s v="Q2 1965"/>
        <s v="Q3 1965"/>
        <s v="Q4 1965"/>
        <s v="Q1 1966"/>
        <s v="Q2 1966"/>
        <s v="Q3 1966"/>
        <s v="Q4 1966"/>
        <s v="Q1 1967"/>
        <s v="Q2 1967"/>
        <s v="Q3 1967"/>
        <s v="Q4 1967"/>
        <s v="Q1 1968"/>
        <s v="Q2 1968"/>
        <s v="Q3 1968"/>
        <s v="Q4 1968"/>
        <s v="Q1 1969"/>
        <s v="Q2 1969"/>
        <s v="Q3 1969"/>
        <s v="Q4 1969"/>
        <s v="Q1 1970"/>
        <s v="Q2 1970"/>
        <s v="Q3 1970"/>
        <s v="Q4 1970"/>
        <s v="Q1 1971"/>
        <s v="Q2 1971"/>
        <s v="Q3 1971"/>
        <s v="Q4 1971"/>
        <s v="Q1 1972"/>
        <s v="Q2 1972"/>
        <s v="Q3 1972"/>
        <s v="Q4 1972"/>
        <s v="Q1 1973"/>
        <s v="Q2 1973"/>
        <s v="Q3 1973"/>
        <s v="Q4 1973"/>
        <s v="Q1 1974"/>
        <s v="Q2 1974"/>
        <s v="Q3 1974"/>
        <s v="Q4 1974"/>
        <s v="Q1 1975"/>
        <s v="Q2 1975"/>
        <s v="Q3 1975"/>
        <s v="Q4 1975"/>
        <s v="Q1 1976"/>
        <s v="Q2 1976"/>
        <s v="Q3 1976"/>
        <s v="Q4 1976"/>
        <s v="Q1 1977"/>
        <s v="Q2 1977"/>
        <s v="Q3 1977"/>
        <s v="Q4 1977"/>
        <s v="Q1 1978"/>
        <s v="Q2 1978"/>
        <s v="Q3 1978"/>
        <s v="Q4 1978"/>
        <s v="Q1 1979"/>
        <s v="Q2 1979"/>
        <s v="Q3 1979"/>
        <s v="Q4 1979"/>
        <s v="Q1 1980"/>
        <s v="Q2 1980"/>
        <s v="Q3 1980"/>
        <s v="Q4 1980"/>
        <s v="Q1 1981"/>
        <s v="Q2 1981"/>
        <s v="Q3 1981"/>
        <s v="Q4 1981"/>
        <s v="Q1 1982"/>
        <s v="Q2 1982"/>
        <s v="Q3 1982"/>
        <s v="Q4 1982"/>
        <s v="Q1 1983"/>
        <s v="Q2 1983"/>
        <s v="Q3 1983"/>
        <s v="Q4 1983"/>
        <s v="Q1 1984"/>
        <s v="Q2 1984"/>
        <s v="Q3 1984"/>
        <s v="Q4 1984"/>
        <s v="Q1 1985"/>
        <s v="Q2 1985"/>
        <s v="Q3 1985"/>
        <s v="Q4 1985"/>
        <s v="Q1 1986"/>
        <s v="Q2 1986"/>
        <s v="Q3 1986"/>
        <s v="Q4 1986"/>
        <s v="Q1 1987"/>
        <s v="Q2 1987"/>
        <s v="Q3 1987"/>
        <s v="Q4 1987"/>
        <s v="Q1 1988"/>
        <s v="Q2 1988"/>
        <s v="Q3 1988"/>
        <s v="Q4 1988"/>
        <s v="Q1 1989"/>
        <s v="Q2 1989"/>
        <s v="Q3 1989"/>
        <s v="Q4 1989"/>
        <s v="Q1 1990"/>
        <s v="Q2 1990"/>
        <s v="Q3 1990"/>
        <s v="Q4 1990"/>
        <s v="Q1 1991"/>
        <s v="Q2 1991"/>
        <s v="Q3 1991"/>
        <s v="Q4 1991"/>
        <s v="Q1 1992"/>
        <s v="Q2 1992"/>
        <s v="Q3 1992"/>
        <s v="Q4 1992"/>
        <s v="Q1 1993"/>
        <s v="Q2 1993"/>
        <s v="Q3 1993"/>
        <s v="Q4 1993"/>
        <s v="Q1 1994"/>
        <s v="Q2 1994"/>
        <s v="Q3 1994"/>
        <s v="Q4 1994"/>
        <s v="Q1 1995"/>
        <s v="Q2 1995"/>
        <s v="Q3 1995"/>
        <s v="Q4 1995"/>
        <s v="Q1 1996"/>
        <s v="Q2 1996"/>
        <s v="Q3 1996"/>
        <s v="Q4 1996"/>
        <s v="Q1 1997"/>
        <s v="Q2 1997"/>
        <s v="Q3 1997"/>
        <s v="Q4 1997"/>
        <s v="Q1 1998"/>
        <s v="Q2 1998"/>
        <s v="Q3 1998"/>
        <s v="Q4 1998"/>
        <s v="Q1 1999"/>
        <s v="Q2 1999"/>
        <s v="Q3 1999"/>
        <s v="Q4 1999"/>
        <s v="Q1 2000"/>
        <s v="Q2 2000"/>
        <s v="Q3 2000"/>
        <s v="Q4 2000"/>
        <s v="Q1 2001"/>
        <s v="Q2 2001"/>
        <s v="Q3 2001"/>
        <s v="Q4 2001"/>
        <s v="Q1 2002"/>
        <s v="Q2 2002"/>
        <s v="Q3 2002"/>
        <s v="Q4 2002"/>
        <s v="Q1 2003"/>
        <s v="Q2 2003"/>
        <s v="Q3 2003"/>
        <s v="Q4 2003"/>
        <s v="Q1 2004"/>
        <s v="Q2 2004"/>
        <s v="Q3 2004"/>
        <s v="Q4 2004"/>
        <s v="Q1 2005"/>
        <s v="Q2 2005"/>
        <s v="Q3 2005"/>
        <s v="Q4 2005"/>
        <s v="Q1 2006"/>
        <s v="Q2 2006"/>
        <s v="Q3 2006"/>
        <s v="Q4 2006"/>
        <s v="Q1 2007"/>
        <s v="Q2 2007"/>
        <s v="Q3 2007"/>
        <s v="Q4 2007"/>
        <s v="Q1 2008"/>
        <s v="Q2 2008"/>
        <s v="Q3 2008"/>
        <s v="Q4 2008"/>
        <s v="Q1 2009"/>
        <s v="Q2 2009"/>
        <s v="Q3 2009"/>
        <s v="Q4 2009"/>
        <s v="Q1 2010"/>
        <s v="Q2 2010"/>
        <s v="Q3 2010"/>
        <s v="Q4 2010"/>
        <s v="Q1 2011"/>
        <s v="Q2 2011"/>
        <s v="Q3 2011"/>
        <s v="Q4 2011"/>
        <s v="Q1 2012"/>
        <s v="Q2 2012"/>
        <s v="Q3 2012"/>
        <s v="Q4 2012"/>
        <s v="Q1 2013"/>
        <s v="Q2 2013"/>
        <s v="Q3 2013"/>
        <s v="Q4 2013"/>
        <s v="Q1 2014"/>
        <s v="Q2 2014"/>
        <s v="Q3 2014"/>
        <s v="Q4 2014"/>
        <s v="Q1 2015"/>
        <s v="Q2 2015"/>
        <s v="Q3 2015"/>
        <s v="Q4 2015"/>
        <s v="Q1 2016"/>
        <s v="Q2 2016"/>
        <s v="Q3 2016"/>
        <s v="Q4 2016"/>
        <s v="Q1 2017"/>
        <s v="Q2 2017"/>
        <s v="Q3 2017"/>
        <s v="Q4 2017"/>
        <s v="Q1 2018"/>
        <s v="Q2 2018"/>
        <s v="Q3 2018"/>
        <s v="Q4 2018"/>
        <s v="Q1 2019"/>
        <s v="Q2 2019"/>
        <s v="Q3 2019"/>
        <s v="Q4 2019"/>
        <s v="Q1 2020"/>
        <s v="Q2 2020"/>
        <s v="Q3 2020"/>
        <s v="Q4 2020"/>
        <s v="Q1 2021"/>
        <s v="Q2 2021"/>
        <s v="Q3 2021"/>
        <s v="Q4 2021"/>
        <s v="Q1 2022"/>
        <s v="Q2 2022"/>
        <s v="Q3 2022"/>
        <s v="Q4 2022"/>
        <s v="Q1 2023"/>
        <s v="Q2 2023"/>
        <s v="Q3 2023"/>
        <s v="Q4 2023"/>
        <s v="Q1 2024"/>
        <s v="Q2 2024"/>
        <s v="Q3 2024"/>
        <s v="Q4 2024"/>
        <s v="Q1 2025"/>
        <s v="Q2 2025"/>
        <s v="Q3 2025"/>
        <s v="Q4 2025"/>
        <s v="Q1 2026"/>
        <s v="Q2 2026"/>
        <s v="Q1 1939"/>
        <s v="Q2 1939"/>
        <s v="Q3 1939"/>
        <s v="Q4 1939"/>
        <s v="Q1 1940"/>
        <s v="Q2 1940"/>
        <s v="Q3 1940"/>
        <s v="Q4 1940"/>
        <s v="Q1 1941"/>
        <s v="Q2 1941"/>
        <s v="Q3 1941"/>
        <s v="Q4 1941"/>
        <s v="Q1 1942"/>
        <s v="Q2 1942"/>
        <s v="Q3 1942"/>
        <s v="Q4 1942"/>
        <s v="Q1 1943"/>
        <s v="Q2 1943"/>
        <s v="Q3 1943"/>
        <s v="Q4 1943"/>
        <s v="Q1 1944"/>
        <s v="Q2 1944"/>
        <s v="Q3 1944"/>
        <s v="Q4 1944"/>
        <s v="Q1 1945"/>
        <s v="Q2 1945"/>
        <s v="Q3 1945"/>
        <s v="Q4 1945"/>
        <s v="Q1 1946"/>
        <s v="Q2 1946"/>
        <s v="Q3 1946"/>
        <s v="Q4 1946"/>
      </sharedItems>
    </cacheField>
    <cacheField name="yoy_growth_rate" numFmtId="0">
      <sharedItems containsString="0" containsBlank="1" containsNumber="1" minValue="-97.5" maxValue="4466.25"/>
    </cacheField>
    <cacheField name="Months (quarter_start)" numFmtId="0" databaseField="0">
      <fieldGroup base="2">
        <rangePr groupBy="months" startDate="1939-01-01T00:00:00" endDate="2026-04-02T00:00:00"/>
        <groupItems count="14">
          <s v="&lt;1/1/193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2/2026"/>
        </groupItems>
      </fieldGroup>
    </cacheField>
    <cacheField name="Quarters (quarter_start)" numFmtId="0" databaseField="0">
      <fieldGroup base="2">
        <rangePr groupBy="quarters" startDate="1939-01-01T00:00:00" endDate="2026-04-02T00:00:00"/>
        <groupItems count="6">
          <s v="&lt;1/1/1939"/>
          <s v="Qtr1"/>
          <s v="Qtr2"/>
          <s v="Qtr3"/>
          <s v="Qtr4"/>
          <s v="&gt;4/2/2026"/>
        </groupItems>
      </fieldGroup>
    </cacheField>
    <cacheField name="Years (quarter_start)" numFmtId="0" databaseField="0">
      <fieldGroup base="2">
        <rangePr groupBy="years" startDate="1939-01-01T00:00:00" endDate="2026-04-02T00:00:00"/>
        <groupItems count="90">
          <s v="&lt;1/1/1939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4/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n v="50"/>
    <n v="9"/>
    <x v="0"/>
  </r>
  <r>
    <x v="1"/>
    <x v="1"/>
    <n v="40"/>
    <n v="9"/>
    <x v="0"/>
  </r>
  <r>
    <x v="2"/>
    <x v="2"/>
    <n v="40"/>
    <n v="7"/>
    <x v="0"/>
  </r>
  <r>
    <x v="3"/>
    <x v="3"/>
    <n v="40"/>
    <n v="9"/>
    <x v="0"/>
  </r>
  <r>
    <x v="4"/>
    <x v="4"/>
    <n v="40"/>
    <n v="9"/>
    <x v="0"/>
  </r>
  <r>
    <x v="5"/>
    <x v="5"/>
    <n v="50"/>
    <n v="9"/>
    <x v="0"/>
  </r>
  <r>
    <x v="6"/>
    <x v="6"/>
    <n v="65"/>
    <n v="9"/>
    <x v="0"/>
  </r>
  <r>
    <x v="7"/>
    <x v="7"/>
    <n v="55"/>
    <n v="9"/>
    <x v="0"/>
  </r>
  <r>
    <x v="8"/>
    <x v="8"/>
    <n v="70"/>
    <n v="9"/>
    <x v="0"/>
  </r>
  <r>
    <x v="9"/>
    <x v="9"/>
    <n v="70"/>
    <n v="9"/>
    <x v="0"/>
  </r>
  <r>
    <x v="10"/>
    <x v="10"/>
    <n v="60"/>
    <n v="9"/>
    <x v="0"/>
  </r>
  <r>
    <x v="11"/>
    <x v="11"/>
    <n v="60"/>
    <n v="9"/>
    <x v="0"/>
  </r>
  <r>
    <x v="12"/>
    <x v="12"/>
    <n v="70"/>
    <n v="9"/>
    <x v="0"/>
  </r>
  <r>
    <x v="13"/>
    <x v="13"/>
    <n v="70"/>
    <n v="9"/>
    <x v="0"/>
  </r>
  <r>
    <x v="14"/>
    <x v="14"/>
    <n v="55"/>
    <n v="9"/>
    <x v="0"/>
  </r>
  <r>
    <x v="15"/>
    <x v="15"/>
    <n v="55"/>
    <n v="9"/>
    <x v="0"/>
  </r>
  <r>
    <x v="16"/>
    <x v="16"/>
    <n v="65"/>
    <n v="9"/>
    <x v="0"/>
  </r>
  <r>
    <x v="17"/>
    <x v="17"/>
    <n v="65"/>
    <n v="9"/>
    <x v="0"/>
  </r>
  <r>
    <x v="18"/>
    <x v="18"/>
    <n v="60"/>
    <n v="9"/>
    <x v="0"/>
  </r>
  <r>
    <x v="19"/>
    <x v="19"/>
    <n v="60"/>
    <n v="9"/>
    <x v="0"/>
  </r>
  <r>
    <x v="20"/>
    <x v="20"/>
    <n v="80"/>
    <n v="9"/>
    <x v="0"/>
  </r>
  <r>
    <x v="21"/>
    <x v="21"/>
    <n v="35"/>
    <n v="9"/>
    <x v="0"/>
  </r>
  <r>
    <x v="22"/>
    <x v="22"/>
    <n v="20"/>
    <n v="9"/>
    <x v="0"/>
  </r>
  <r>
    <x v="23"/>
    <x v="23"/>
    <n v="20"/>
    <n v="9"/>
    <x v="0"/>
  </r>
  <r>
    <x v="24"/>
    <x v="24"/>
    <n v="10"/>
    <n v="9"/>
    <x v="0"/>
  </r>
  <r>
    <x v="25"/>
    <x v="25"/>
    <n v="65"/>
    <n v="9"/>
    <x v="0"/>
  </r>
  <r>
    <x v="26"/>
    <x v="26"/>
    <n v="50"/>
    <n v="9"/>
    <x v="0"/>
  </r>
  <r>
    <x v="27"/>
    <x v="27"/>
    <n v="55"/>
    <n v="9"/>
    <x v="0"/>
  </r>
  <r>
    <x v="28"/>
    <x v="28"/>
    <n v="80"/>
    <n v="9"/>
    <x v="0"/>
  </r>
  <r>
    <x v="29"/>
    <x v="29"/>
    <n v="65"/>
    <n v="9"/>
    <x v="0"/>
  </r>
  <r>
    <x v="30"/>
    <x v="30"/>
    <n v="65"/>
    <n v="9"/>
    <x v="0"/>
  </r>
  <r>
    <x v="31"/>
    <x v="31"/>
    <n v="80"/>
    <n v="9"/>
    <x v="0"/>
  </r>
  <r>
    <x v="32"/>
    <x v="32"/>
    <n v="80"/>
    <n v="9"/>
    <x v="0"/>
  </r>
  <r>
    <x v="33"/>
    <x v="33"/>
    <n v="80"/>
    <n v="9"/>
    <x v="0"/>
  </r>
  <r>
    <x v="34"/>
    <x v="34"/>
    <n v="80"/>
    <n v="9"/>
    <x v="0"/>
  </r>
  <r>
    <x v="35"/>
    <x v="35"/>
    <n v="80"/>
    <n v="9"/>
    <x v="0"/>
  </r>
  <r>
    <x v="36"/>
    <x v="36"/>
    <n v="80"/>
    <n v="9"/>
    <x v="0"/>
  </r>
  <r>
    <x v="37"/>
    <x v="37"/>
    <n v="80"/>
    <n v="9"/>
    <x v="0"/>
  </r>
  <r>
    <x v="38"/>
    <x v="38"/>
    <n v="80"/>
    <n v="9"/>
    <x v="0"/>
  </r>
  <r>
    <x v="39"/>
    <x v="39"/>
    <n v="55"/>
    <n v="9"/>
    <x v="0"/>
  </r>
  <r>
    <x v="40"/>
    <x v="40"/>
    <n v="55"/>
    <n v="9"/>
    <x v="0"/>
  </r>
  <r>
    <x v="41"/>
    <x v="41"/>
    <n v="55"/>
    <n v="9"/>
    <x v="0"/>
  </r>
  <r>
    <x v="42"/>
    <x v="42"/>
    <n v="70"/>
    <n v="9"/>
    <x v="0"/>
  </r>
  <r>
    <x v="43"/>
    <x v="43"/>
    <n v="80"/>
    <n v="9"/>
    <x v="0"/>
  </r>
  <r>
    <x v="44"/>
    <x v="44"/>
    <n v="70"/>
    <n v="9"/>
    <x v="0"/>
  </r>
  <r>
    <x v="45"/>
    <x v="45"/>
    <n v="80"/>
    <n v="9"/>
    <x v="0"/>
  </r>
  <r>
    <x v="46"/>
    <x v="46"/>
    <n v="80"/>
    <n v="9"/>
    <x v="0"/>
  </r>
  <r>
    <x v="47"/>
    <x v="47"/>
    <n v="80"/>
    <n v="9"/>
    <x v="0"/>
  </r>
  <r>
    <x v="48"/>
    <x v="48"/>
    <n v="75"/>
    <n v="9"/>
    <x v="0"/>
  </r>
  <r>
    <x v="49"/>
    <x v="49"/>
    <n v="75"/>
    <n v="9"/>
    <x v="0"/>
  </r>
  <r>
    <x v="50"/>
    <x v="50"/>
    <n v="50"/>
    <n v="9"/>
    <x v="0"/>
  </r>
  <r>
    <x v="51"/>
    <x v="51"/>
    <n v="65"/>
    <n v="9"/>
    <x v="0"/>
  </r>
  <r>
    <x v="52"/>
    <x v="52"/>
    <n v="65"/>
    <n v="9"/>
    <x v="0"/>
  </r>
  <r>
    <x v="53"/>
    <x v="53"/>
    <n v="70"/>
    <n v="9"/>
    <x v="0"/>
  </r>
  <r>
    <x v="54"/>
    <x v="54"/>
    <n v="70"/>
    <n v="9"/>
    <x v="0"/>
  </r>
  <r>
    <x v="55"/>
    <x v="55"/>
    <n v="70"/>
    <n v="9"/>
    <x v="0"/>
  </r>
  <r>
    <x v="56"/>
    <x v="56"/>
    <n v="70"/>
    <n v="9"/>
    <x v="0"/>
  </r>
  <r>
    <x v="57"/>
    <x v="57"/>
    <n v="75"/>
    <n v="9"/>
    <x v="0"/>
  </r>
  <r>
    <x v="58"/>
    <x v="58"/>
    <n v="60"/>
    <n v="9"/>
    <x v="0"/>
  </r>
  <r>
    <x v="59"/>
    <x v="59"/>
    <n v="60"/>
    <n v="9"/>
    <x v="0"/>
  </r>
  <r>
    <x v="60"/>
    <x v="60"/>
    <n v="60"/>
    <n v="9"/>
    <x v="0"/>
  </r>
  <r>
    <x v="61"/>
    <x v="61"/>
    <n v="65"/>
    <n v="9"/>
    <x v="0"/>
  </r>
  <r>
    <x v="62"/>
    <x v="62"/>
    <n v="80"/>
    <n v="9"/>
    <x v="0"/>
  </r>
  <r>
    <x v="63"/>
    <x v="63"/>
    <n v="50"/>
    <n v="9"/>
    <x v="0"/>
  </r>
  <r>
    <x v="64"/>
    <x v="64"/>
    <n v="55"/>
    <n v="9"/>
    <x v="0"/>
  </r>
  <r>
    <x v="65"/>
    <x v="65"/>
    <n v="50"/>
    <n v="9"/>
    <x v="0"/>
  </r>
  <r>
    <x v="66"/>
    <x v="66"/>
    <n v="40"/>
    <n v="9"/>
    <x v="0"/>
  </r>
  <r>
    <x v="67"/>
    <x v="67"/>
    <n v="15"/>
    <n v="9"/>
    <x v="0"/>
  </r>
  <r>
    <x v="68"/>
    <x v="68"/>
    <n v="15"/>
    <n v="9"/>
    <x v="0"/>
  </r>
  <r>
    <x v="69"/>
    <x v="69"/>
    <n v="0"/>
    <n v="9"/>
    <x v="1"/>
  </r>
  <r>
    <x v="70"/>
    <x v="70"/>
    <n v="0"/>
    <n v="9"/>
    <x v="1"/>
  </r>
  <r>
    <x v="71"/>
    <x v="71"/>
    <n v="35"/>
    <n v="9"/>
    <x v="0"/>
  </r>
  <r>
    <x v="72"/>
    <x v="72"/>
    <n v="35"/>
    <n v="9"/>
    <x v="0"/>
  </r>
  <r>
    <x v="73"/>
    <x v="73"/>
    <n v="50"/>
    <n v="9"/>
    <x v="0"/>
  </r>
  <r>
    <x v="74"/>
    <x v="74"/>
    <n v="40"/>
    <n v="9"/>
    <x v="0"/>
  </r>
  <r>
    <x v="75"/>
    <x v="75"/>
    <n v="55"/>
    <n v="9"/>
    <x v="0"/>
  </r>
  <r>
    <x v="76"/>
    <x v="76"/>
    <n v="70"/>
    <n v="9"/>
    <x v="0"/>
  </r>
  <r>
    <x v="77"/>
    <x v="77"/>
    <n v="70"/>
    <n v="9"/>
    <x v="0"/>
  </r>
  <r>
    <x v="78"/>
    <x v="78"/>
    <n v="70"/>
    <n v="9"/>
    <x v="0"/>
  </r>
  <r>
    <x v="79"/>
    <x v="79"/>
    <n v="65"/>
    <n v="9"/>
    <x v="0"/>
  </r>
  <r>
    <x v="80"/>
    <x v="80"/>
    <n v="65"/>
    <n v="9"/>
    <x v="0"/>
  </r>
  <r>
    <x v="81"/>
    <x v="81"/>
    <n v="65"/>
    <n v="9"/>
    <x v="0"/>
  </r>
  <r>
    <x v="82"/>
    <x v="82"/>
    <n v="65"/>
    <n v="9"/>
    <x v="0"/>
  </r>
  <r>
    <x v="83"/>
    <x v="83"/>
    <n v="65"/>
    <n v="9"/>
    <x v="0"/>
  </r>
  <r>
    <x v="84"/>
    <x v="84"/>
    <n v="65"/>
    <n v="9"/>
    <x v="0"/>
  </r>
  <r>
    <x v="85"/>
    <x v="85"/>
    <n v="65"/>
    <n v="9"/>
    <x v="0"/>
  </r>
  <r>
    <x v="86"/>
    <x v="86"/>
    <n v="80"/>
    <n v="9"/>
    <x v="0"/>
  </r>
  <r>
    <x v="87"/>
    <x v="87"/>
    <n v="80"/>
    <n v="9"/>
    <x v="0"/>
  </r>
  <r>
    <x v="88"/>
    <x v="88"/>
    <n v="75"/>
    <n v="9"/>
    <x v="0"/>
  </r>
  <r>
    <x v="89"/>
    <x v="89"/>
    <n v="75"/>
    <n v="9"/>
    <x v="0"/>
  </r>
  <r>
    <x v="90"/>
    <x v="90"/>
    <n v="60"/>
    <n v="9"/>
    <x v="0"/>
  </r>
  <r>
    <x v="91"/>
    <x v="91"/>
    <n v="50"/>
    <n v="9"/>
    <x v="0"/>
  </r>
  <r>
    <x v="92"/>
    <x v="92"/>
    <n v="45"/>
    <n v="9"/>
    <x v="0"/>
  </r>
  <r>
    <x v="93"/>
    <x v="93"/>
    <n v="35"/>
    <n v="9"/>
    <x v="0"/>
  </r>
  <r>
    <x v="94"/>
    <x v="94"/>
    <n v="45"/>
    <n v="9"/>
    <x v="0"/>
  </r>
  <r>
    <x v="95"/>
    <x v="95"/>
    <n v="45"/>
    <n v="9"/>
    <x v="0"/>
  </r>
  <r>
    <x v="96"/>
    <x v="96"/>
    <n v="50"/>
    <n v="9"/>
    <x v="0"/>
  </r>
  <r>
    <x v="97"/>
    <x v="97"/>
    <n v="40"/>
    <n v="9"/>
    <x v="0"/>
  </r>
  <r>
    <x v="98"/>
    <x v="98"/>
    <n v="25"/>
    <n v="9"/>
    <x v="0"/>
  </r>
  <r>
    <x v="99"/>
    <x v="99"/>
    <n v="25"/>
    <n v="9"/>
    <x v="0"/>
  </r>
  <r>
    <x v="100"/>
    <x v="100"/>
    <n v="40"/>
    <n v="9"/>
    <x v="0"/>
  </r>
  <r>
    <x v="101"/>
    <x v="101"/>
    <n v="50"/>
    <n v="9"/>
    <x v="0"/>
  </r>
  <r>
    <x v="102"/>
    <x v="102"/>
    <n v="65"/>
    <n v="9"/>
    <x v="0"/>
  </r>
  <r>
    <x v="103"/>
    <x v="103"/>
    <n v="80"/>
    <n v="9"/>
    <x v="0"/>
  </r>
  <r>
    <x v="104"/>
    <x v="104"/>
    <n v="80"/>
    <n v="9"/>
    <x v="0"/>
  </r>
  <r>
    <x v="105"/>
    <x v="105"/>
    <n v="80"/>
    <n v="9"/>
    <x v="0"/>
  </r>
  <r>
    <x v="106"/>
    <x v="106"/>
    <n v="80"/>
    <n v="9"/>
    <x v="0"/>
  </r>
  <r>
    <x v="107"/>
    <x v="107"/>
    <n v="75"/>
    <n v="9"/>
    <x v="0"/>
  </r>
  <r>
    <x v="108"/>
    <x v="108"/>
    <n v="60"/>
    <n v="9"/>
    <x v="0"/>
  </r>
  <r>
    <x v="109"/>
    <x v="109"/>
    <n v="60"/>
    <n v="9"/>
    <x v="0"/>
  </r>
  <r>
    <x v="110"/>
    <x v="110"/>
    <n v="60"/>
    <n v="9"/>
    <x v="0"/>
  </r>
  <r>
    <x v="111"/>
    <x v="111"/>
    <n v="60"/>
    <n v="9"/>
    <x v="0"/>
  </r>
  <r>
    <x v="112"/>
    <x v="112"/>
    <n v="75"/>
    <n v="9"/>
    <x v="0"/>
  </r>
  <r>
    <x v="113"/>
    <x v="113"/>
    <n v="80"/>
    <n v="9"/>
    <x v="0"/>
  </r>
  <r>
    <x v="114"/>
    <x v="114"/>
    <n v="80"/>
    <n v="9"/>
    <x v="0"/>
  </r>
  <r>
    <x v="115"/>
    <x v="115"/>
    <n v="70"/>
    <n v="9"/>
    <x v="0"/>
  </r>
  <r>
    <x v="116"/>
    <x v="116"/>
    <n v="70"/>
    <n v="9"/>
    <x v="0"/>
  </r>
  <r>
    <x v="117"/>
    <x v="117"/>
    <n v="75"/>
    <n v="9"/>
    <x v="0"/>
  </r>
  <r>
    <x v="118"/>
    <x v="118"/>
    <n v="75"/>
    <n v="9"/>
    <x v="0"/>
  </r>
  <r>
    <x v="119"/>
    <x v="119"/>
    <n v="75"/>
    <n v="9"/>
    <x v="0"/>
  </r>
  <r>
    <x v="120"/>
    <x v="120"/>
    <n v="50"/>
    <n v="9"/>
    <x v="0"/>
  </r>
  <r>
    <x v="121"/>
    <x v="121"/>
    <n v="40"/>
    <n v="9"/>
    <x v="0"/>
  </r>
  <r>
    <x v="122"/>
    <x v="122"/>
    <n v="55"/>
    <n v="9"/>
    <x v="0"/>
  </r>
  <r>
    <x v="123"/>
    <x v="123"/>
    <n v="70"/>
    <n v="9"/>
    <x v="0"/>
  </r>
  <r>
    <x v="124"/>
    <x v="124"/>
    <n v="65"/>
    <n v="9"/>
    <x v="0"/>
  </r>
  <r>
    <x v="125"/>
    <x v="125"/>
    <n v="80"/>
    <n v="9"/>
    <x v="0"/>
  </r>
  <r>
    <x v="126"/>
    <x v="126"/>
    <n v="80"/>
    <n v="9"/>
    <x v="0"/>
  </r>
  <r>
    <x v="127"/>
    <x v="127"/>
    <n v="80"/>
    <n v="9"/>
    <x v="0"/>
  </r>
  <r>
    <x v="128"/>
    <x v="128"/>
    <n v="80"/>
    <n v="9"/>
    <x v="0"/>
  </r>
  <r>
    <x v="129"/>
    <x v="129"/>
    <n v="80"/>
    <n v="9"/>
    <x v="0"/>
  </r>
  <r>
    <x v="130"/>
    <x v="130"/>
    <n v="75"/>
    <n v="9"/>
    <x v="0"/>
  </r>
  <r>
    <x v="131"/>
    <x v="131"/>
    <n v="75"/>
    <n v="9"/>
    <x v="0"/>
  </r>
  <r>
    <x v="132"/>
    <x v="132"/>
    <n v="75"/>
    <n v="9"/>
    <x v="0"/>
  </r>
  <r>
    <x v="133"/>
    <x v="133"/>
    <n v="75"/>
    <n v="9"/>
    <x v="0"/>
  </r>
  <r>
    <x v="134"/>
    <x v="134"/>
    <n v="45"/>
    <n v="9"/>
    <x v="0"/>
  </r>
  <r>
    <x v="135"/>
    <x v="135"/>
    <n v="30"/>
    <n v="9"/>
    <x v="0"/>
  </r>
  <r>
    <x v="136"/>
    <x v="136"/>
    <n v="30"/>
    <n v="9"/>
    <x v="0"/>
  </r>
  <r>
    <x v="137"/>
    <x v="137"/>
    <n v="15"/>
    <n v="9"/>
    <x v="0"/>
  </r>
  <r>
    <x v="138"/>
    <x v="138"/>
    <n v="30"/>
    <n v="7"/>
    <x v="0"/>
  </r>
  <r>
    <x v="139"/>
    <x v="139"/>
    <n v="15"/>
    <n v="7"/>
    <x v="0"/>
  </r>
  <r>
    <x v="140"/>
    <x v="140"/>
    <n v="0"/>
    <n v="7"/>
    <x v="1"/>
  </r>
  <r>
    <x v="141"/>
    <x v="141"/>
    <n v="0"/>
    <n v="7"/>
    <x v="1"/>
  </r>
  <r>
    <x v="142"/>
    <x v="142"/>
    <n v="30"/>
    <n v="7"/>
    <x v="0"/>
  </r>
  <r>
    <x v="143"/>
    <x v="143"/>
    <n v="30"/>
    <n v="7"/>
    <x v="0"/>
  </r>
  <r>
    <x v="144"/>
    <x v="144"/>
    <n v="30"/>
    <n v="7"/>
    <x v="0"/>
  </r>
  <r>
    <x v="145"/>
    <x v="145"/>
    <n v="30"/>
    <n v="7"/>
    <x v="0"/>
  </r>
  <r>
    <x v="146"/>
    <x v="146"/>
    <n v="35"/>
    <n v="7"/>
    <x v="0"/>
  </r>
  <r>
    <x v="147"/>
    <x v="147"/>
    <n v="45"/>
    <n v="7"/>
    <x v="0"/>
  </r>
  <r>
    <x v="148"/>
    <x v="148"/>
    <n v="45"/>
    <n v="7"/>
    <x v="0"/>
  </r>
  <r>
    <x v="149"/>
    <x v="149"/>
    <n v="60"/>
    <n v="7"/>
    <x v="0"/>
  </r>
  <r>
    <x v="150"/>
    <x v="150"/>
    <n v="60"/>
    <n v="7"/>
    <x v="0"/>
  </r>
  <r>
    <x v="151"/>
    <x v="151"/>
    <n v="60"/>
    <n v="7"/>
    <x v="0"/>
  </r>
  <r>
    <x v="152"/>
    <x v="152"/>
    <n v="60"/>
    <n v="7"/>
    <x v="0"/>
  </r>
  <r>
    <x v="153"/>
    <x v="153"/>
    <n v="60"/>
    <n v="7"/>
    <x v="0"/>
  </r>
  <r>
    <x v="154"/>
    <x v="154"/>
    <n v="45"/>
    <n v="7"/>
    <x v="0"/>
  </r>
  <r>
    <x v="155"/>
    <x v="155"/>
    <n v="45"/>
    <n v="7"/>
    <x v="0"/>
  </r>
  <r>
    <x v="156"/>
    <x v="156"/>
    <n v="40"/>
    <n v="7"/>
    <x v="0"/>
  </r>
  <r>
    <x v="157"/>
    <x v="157"/>
    <n v="40"/>
    <n v="7"/>
    <x v="0"/>
  </r>
  <r>
    <x v="158"/>
    <x v="158"/>
    <n v="55"/>
    <n v="7"/>
    <x v="0"/>
  </r>
  <r>
    <x v="159"/>
    <x v="159"/>
    <n v="55"/>
    <n v="7"/>
    <x v="0"/>
  </r>
  <r>
    <x v="160"/>
    <x v="160"/>
    <n v="55"/>
    <n v="7"/>
    <x v="0"/>
  </r>
  <r>
    <x v="161"/>
    <x v="161"/>
    <n v="55"/>
    <n v="7"/>
    <x v="0"/>
  </r>
  <r>
    <x v="162"/>
    <x v="162"/>
    <n v="40"/>
    <n v="7"/>
    <x v="0"/>
  </r>
  <r>
    <x v="163"/>
    <x v="163"/>
    <n v="40"/>
    <n v="7"/>
    <x v="0"/>
  </r>
  <r>
    <x v="164"/>
    <x v="164"/>
    <n v="40"/>
    <n v="7"/>
    <x v="0"/>
  </r>
  <r>
    <x v="165"/>
    <x v="165"/>
    <n v="40"/>
    <n v="7"/>
    <x v="0"/>
  </r>
  <r>
    <x v="166"/>
    <x v="166"/>
    <n v="55"/>
    <n v="7"/>
    <x v="0"/>
  </r>
  <r>
    <x v="167"/>
    <x v="167"/>
    <n v="60"/>
    <n v="7"/>
    <x v="0"/>
  </r>
  <r>
    <x v="168"/>
    <x v="168"/>
    <n v="60"/>
    <n v="7"/>
    <x v="0"/>
  </r>
  <r>
    <x v="169"/>
    <x v="169"/>
    <n v="60"/>
    <n v="7"/>
    <x v="0"/>
  </r>
  <r>
    <x v="170"/>
    <x v="170"/>
    <n v="60"/>
    <n v="7"/>
    <x v="0"/>
  </r>
  <r>
    <x v="171"/>
    <x v="171"/>
    <n v="55"/>
    <n v="7"/>
    <x v="0"/>
  </r>
  <r>
    <x v="172"/>
    <x v="172"/>
    <n v="30"/>
    <n v="7"/>
    <x v="0"/>
  </r>
  <r>
    <x v="173"/>
    <x v="173"/>
    <n v="30"/>
    <n v="7"/>
    <x v="0"/>
  </r>
  <r>
    <x v="174"/>
    <x v="174"/>
    <n v="15"/>
    <n v="7"/>
    <x v="0"/>
  </r>
  <r>
    <x v="175"/>
    <x v="175"/>
    <n v="0"/>
    <n v="7"/>
    <x v="1"/>
  </r>
  <r>
    <x v="176"/>
    <x v="176"/>
    <n v="0"/>
    <n v="7"/>
    <x v="1"/>
  </r>
  <r>
    <x v="177"/>
    <x v="177"/>
    <n v="0"/>
    <n v="7"/>
    <x v="1"/>
  </r>
  <r>
    <x v="178"/>
    <x v="178"/>
    <n v="30"/>
    <n v="7"/>
    <x v="0"/>
  </r>
  <r>
    <x v="179"/>
    <x v="179"/>
    <n v="60"/>
    <n v="7"/>
    <x v="0"/>
  </r>
  <r>
    <x v="180"/>
    <x v="180"/>
    <n v="50"/>
    <n v="7"/>
    <x v="0"/>
  </r>
  <r>
    <x v="181"/>
    <x v="181"/>
    <n v="50"/>
    <n v="7"/>
    <x v="0"/>
  </r>
  <r>
    <x v="182"/>
    <x v="182"/>
    <n v="35"/>
    <n v="7"/>
    <x v="0"/>
  </r>
  <r>
    <x v="183"/>
    <x v="183"/>
    <n v="15"/>
    <n v="7"/>
    <x v="0"/>
  </r>
  <r>
    <x v="184"/>
    <x v="184"/>
    <n v="20"/>
    <n v="7"/>
    <x v="0"/>
  </r>
  <r>
    <x v="185"/>
    <x v="185"/>
    <n v="35"/>
    <n v="7"/>
    <x v="0"/>
  </r>
  <r>
    <x v="186"/>
    <x v="186"/>
    <n v="35"/>
    <n v="7"/>
    <x v="0"/>
  </r>
  <r>
    <x v="187"/>
    <x v="187"/>
    <n v="45"/>
    <n v="7"/>
    <x v="0"/>
  </r>
  <r>
    <x v="188"/>
    <x v="188"/>
    <n v="45"/>
    <n v="7"/>
    <x v="0"/>
  </r>
  <r>
    <x v="189"/>
    <x v="189"/>
    <n v="45"/>
    <n v="7"/>
    <x v="0"/>
  </r>
  <r>
    <x v="190"/>
    <x v="190"/>
    <n v="45"/>
    <n v="7"/>
    <x v="0"/>
  </r>
  <r>
    <x v="191"/>
    <x v="191"/>
    <n v="45"/>
    <n v="7"/>
    <x v="0"/>
  </r>
  <r>
    <x v="192"/>
    <x v="192"/>
    <n v="45"/>
    <n v="7"/>
    <x v="0"/>
  </r>
  <r>
    <x v="193"/>
    <x v="193"/>
    <n v="45"/>
    <n v="7"/>
    <x v="0"/>
  </r>
  <r>
    <x v="194"/>
    <x v="194"/>
    <n v="45"/>
    <n v="6"/>
    <x v="0"/>
  </r>
  <r>
    <x v="195"/>
    <x v="195"/>
    <n v="45"/>
    <n v="6"/>
    <x v="0"/>
  </r>
  <r>
    <x v="196"/>
    <x v="196"/>
    <n v="40"/>
    <n v="6"/>
    <x v="0"/>
  </r>
  <r>
    <x v="197"/>
    <x v="197"/>
    <n v="40"/>
    <n v="6"/>
    <x v="0"/>
  </r>
  <r>
    <x v="198"/>
    <x v="198"/>
    <n v="40"/>
    <n v="6"/>
    <x v="0"/>
  </r>
  <r>
    <x v="199"/>
    <x v="199"/>
    <n v="40"/>
    <n v="6"/>
    <x v="0"/>
  </r>
  <r>
    <x v="200"/>
    <x v="200"/>
    <n v="40"/>
    <n v="6"/>
    <x v="0"/>
  </r>
  <r>
    <x v="201"/>
    <x v="201"/>
    <n v="40"/>
    <n v="6"/>
    <x v="0"/>
  </r>
  <r>
    <x v="202"/>
    <x v="202"/>
    <n v="15"/>
    <n v="6"/>
    <x v="0"/>
  </r>
  <r>
    <x v="203"/>
    <x v="203"/>
    <n v="15"/>
    <n v="6"/>
    <x v="0"/>
  </r>
  <r>
    <x v="204"/>
    <x v="204"/>
    <n v="0"/>
    <n v="6"/>
    <x v="1"/>
  </r>
  <r>
    <x v="205"/>
    <x v="205"/>
    <n v="0"/>
    <n v="6"/>
    <x v="1"/>
  </r>
  <r>
    <x v="206"/>
    <x v="206"/>
    <n v="15"/>
    <n v="6"/>
    <x v="0"/>
  </r>
  <r>
    <x v="207"/>
    <x v="207"/>
    <n v="20"/>
    <n v="6"/>
    <x v="0"/>
  </r>
  <r>
    <x v="208"/>
    <x v="208"/>
    <n v="20"/>
    <n v="6"/>
    <x v="0"/>
  </r>
  <r>
    <x v="209"/>
    <x v="209"/>
    <n v="35"/>
    <n v="6"/>
    <x v="0"/>
  </r>
  <r>
    <x v="210"/>
    <x v="210"/>
    <n v="45"/>
    <n v="5"/>
    <x v="0"/>
  </r>
  <r>
    <x v="211"/>
    <x v="211"/>
    <n v="45"/>
    <n v="5"/>
    <x v="0"/>
  </r>
  <r>
    <x v="212"/>
    <x v="212"/>
    <n v="45"/>
    <n v="5"/>
    <x v="0"/>
  </r>
  <r>
    <x v="213"/>
    <x v="213"/>
    <n v="45"/>
    <n v="5"/>
    <x v="0"/>
  </r>
  <r>
    <x v="214"/>
    <x v="214"/>
    <n v="45"/>
    <n v="5"/>
    <x v="0"/>
  </r>
  <r>
    <x v="215"/>
    <x v="215"/>
    <n v="40"/>
    <n v="5"/>
    <x v="0"/>
  </r>
  <r>
    <x v="216"/>
    <x v="216"/>
    <n v="40"/>
    <n v="5"/>
    <x v="0"/>
  </r>
  <r>
    <x v="217"/>
    <x v="217"/>
    <n v="40"/>
    <n v="5"/>
    <x v="0"/>
  </r>
  <r>
    <x v="218"/>
    <x v="218"/>
    <n v="30"/>
    <n v="5"/>
    <x v="0"/>
  </r>
  <r>
    <x v="219"/>
    <x v="219"/>
    <n v="30"/>
    <n v="5"/>
    <x v="0"/>
  </r>
  <r>
    <x v="220"/>
    <x v="220"/>
    <n v="30"/>
    <n v="5"/>
    <x v="0"/>
  </r>
  <r>
    <x v="221"/>
    <x v="221"/>
    <n v="15"/>
    <n v="5"/>
    <x v="0"/>
  </r>
  <r>
    <x v="222"/>
    <x v="222"/>
    <n v="0"/>
    <n v="5"/>
    <x v="1"/>
  </r>
  <r>
    <x v="223"/>
    <x v="223"/>
    <n v="30"/>
    <n v="5"/>
    <x v="0"/>
  </r>
  <r>
    <x v="224"/>
    <x v="224"/>
    <n v="30"/>
    <n v="5"/>
    <x v="0"/>
  </r>
  <r>
    <x v="225"/>
    <x v="225"/>
    <n v="35"/>
    <n v="5"/>
    <x v="0"/>
  </r>
  <r>
    <x v="226"/>
    <x v="226"/>
    <n v="35"/>
    <n v="5"/>
    <x v="0"/>
  </r>
  <r>
    <x v="227"/>
    <x v="227"/>
    <n v="35"/>
    <n v="5"/>
    <x v="0"/>
  </r>
  <r>
    <x v="228"/>
    <x v="228"/>
    <n v="45"/>
    <n v="5"/>
    <x v="0"/>
  </r>
  <r>
    <x v="229"/>
    <x v="229"/>
    <n v="45"/>
    <n v="5"/>
    <x v="0"/>
  </r>
  <r>
    <x v="230"/>
    <x v="230"/>
    <n v="45"/>
    <n v="5"/>
    <x v="0"/>
  </r>
  <r>
    <x v="231"/>
    <x v="231"/>
    <n v="45"/>
    <n v="5"/>
    <x v="0"/>
  </r>
  <r>
    <x v="232"/>
    <x v="232"/>
    <n v="45"/>
    <n v="5"/>
    <x v="0"/>
  </r>
  <r>
    <x v="233"/>
    <x v="233"/>
    <n v="40"/>
    <n v="5"/>
    <x v="0"/>
  </r>
  <r>
    <x v="234"/>
    <x v="234"/>
    <n v="30"/>
    <n v="5"/>
    <x v="0"/>
  </r>
  <r>
    <x v="235"/>
    <x v="235"/>
    <n v="30"/>
    <n v="5"/>
    <x v="0"/>
  </r>
  <r>
    <x v="236"/>
    <x v="236"/>
    <n v="30"/>
    <n v="5"/>
    <x v="0"/>
  </r>
  <r>
    <x v="237"/>
    <x v="237"/>
    <n v="45"/>
    <n v="5"/>
    <x v="0"/>
  </r>
  <r>
    <x v="238"/>
    <x v="238"/>
    <n v="45"/>
    <n v="5"/>
    <x v="0"/>
  </r>
  <r>
    <x v="239"/>
    <x v="239"/>
    <n v="45"/>
    <n v="5"/>
    <x v="0"/>
  </r>
  <r>
    <x v="240"/>
    <x v="240"/>
    <n v="45"/>
    <n v="5"/>
    <x v="0"/>
  </r>
  <r>
    <x v="241"/>
    <x v="241"/>
    <n v="45"/>
    <n v="5"/>
    <x v="0"/>
  </r>
  <r>
    <x v="242"/>
    <x v="242"/>
    <n v="45"/>
    <n v="5"/>
    <x v="0"/>
  </r>
  <r>
    <x v="243"/>
    <x v="243"/>
    <n v="45"/>
    <n v="5"/>
    <x v="0"/>
  </r>
  <r>
    <x v="244"/>
    <x v="244"/>
    <n v="45"/>
    <n v="5"/>
    <x v="0"/>
  </r>
  <r>
    <x v="245"/>
    <x v="245"/>
    <n v="45"/>
    <n v="5"/>
    <x v="0"/>
  </r>
  <r>
    <x v="246"/>
    <x v="246"/>
    <n v="45"/>
    <n v="5"/>
    <x v="0"/>
  </r>
  <r>
    <x v="247"/>
    <x v="247"/>
    <n v="45"/>
    <n v="5"/>
    <x v="0"/>
  </r>
  <r>
    <x v="248"/>
    <x v="248"/>
    <n v="45"/>
    <n v="5"/>
    <x v="0"/>
  </r>
  <r>
    <x v="249"/>
    <x v="249"/>
    <n v="45"/>
    <n v="5"/>
    <x v="0"/>
  </r>
  <r>
    <x v="250"/>
    <x v="250"/>
    <n v="35"/>
    <n v="5"/>
    <x v="0"/>
  </r>
  <r>
    <x v="251"/>
    <x v="251"/>
    <n v="45"/>
    <n v="5"/>
    <x v="0"/>
  </r>
  <r>
    <x v="252"/>
    <x v="252"/>
    <n v="35"/>
    <n v="5"/>
    <x v="0"/>
  </r>
  <r>
    <x v="253"/>
    <x v="253"/>
    <n v="35"/>
    <n v="5"/>
    <x v="0"/>
  </r>
  <r>
    <x v="254"/>
    <x v="254"/>
    <n v="45"/>
    <n v="5"/>
    <x v="0"/>
  </r>
  <r>
    <x v="255"/>
    <x v="255"/>
    <n v="45"/>
    <n v="5"/>
    <x v="0"/>
  </r>
  <r>
    <x v="256"/>
    <x v="256"/>
    <n v="45"/>
    <n v="5"/>
    <x v="0"/>
  </r>
  <r>
    <x v="257"/>
    <x v="257"/>
    <n v="45"/>
    <n v="5"/>
    <x v="0"/>
  </r>
  <r>
    <x v="258"/>
    <x v="258"/>
    <n v="45"/>
    <n v="5"/>
    <x v="0"/>
  </r>
  <r>
    <x v="259"/>
    <x v="259"/>
    <n v="15"/>
    <n v="5"/>
    <x v="0"/>
  </r>
  <r>
    <x v="260"/>
    <x v="260"/>
    <n v="15"/>
    <n v="5"/>
    <x v="0"/>
  </r>
  <r>
    <x v="261"/>
    <x v="261"/>
    <n v="0"/>
    <n v="5"/>
    <x v="1"/>
  </r>
  <r>
    <x v="262"/>
    <x v="262"/>
    <n v="30"/>
    <n v="5"/>
    <x v="0"/>
  </r>
  <r>
    <x v="263"/>
    <x v="263"/>
    <n v="30"/>
    <n v="5"/>
    <x v="0"/>
  </r>
  <r>
    <x v="264"/>
    <x v="264"/>
    <n v="35"/>
    <n v="5"/>
    <x v="0"/>
  </r>
  <r>
    <x v="265"/>
    <x v="265"/>
    <n v="45"/>
    <n v="5"/>
    <x v="0"/>
  </r>
  <r>
    <x v="266"/>
    <x v="266"/>
    <n v="45"/>
    <n v="5"/>
    <x v="0"/>
  </r>
  <r>
    <x v="267"/>
    <x v="267"/>
    <n v="45"/>
    <n v="5"/>
    <x v="0"/>
  </r>
  <r>
    <x v="268"/>
    <x v="268"/>
    <n v="45"/>
    <n v="5"/>
    <x v="0"/>
  </r>
  <r>
    <x v="269"/>
    <x v="269"/>
    <n v="45"/>
    <n v="5"/>
    <x v="0"/>
  </r>
  <r>
    <x v="270"/>
    <x v="270"/>
    <n v="15"/>
    <n v="5"/>
    <x v="0"/>
  </r>
  <r>
    <x v="271"/>
    <x v="271"/>
    <n v="0"/>
    <n v="5"/>
    <x v="1"/>
  </r>
  <r>
    <x v="272"/>
    <x v="272"/>
    <n v="0"/>
    <n v="5"/>
    <x v="1"/>
  </r>
  <r>
    <x v="273"/>
    <x v="273"/>
    <n v="0"/>
    <n v="5"/>
    <x v="1"/>
  </r>
  <r>
    <x v="274"/>
    <x v="274"/>
    <n v="20"/>
    <n v="5"/>
    <x v="0"/>
  </r>
  <r>
    <x v="275"/>
    <x v="275"/>
    <n v="35"/>
    <n v="5"/>
    <x v="0"/>
  </r>
  <r>
    <x v="276"/>
    <x v="276"/>
    <n v="45"/>
    <n v="5"/>
    <x v="0"/>
  </r>
  <r>
    <x v="277"/>
    <x v="277"/>
    <n v="45"/>
    <n v="5"/>
    <x v="0"/>
  </r>
  <r>
    <x v="278"/>
    <x v="278"/>
    <n v="45"/>
    <n v="4"/>
    <x v="0"/>
  </r>
  <r>
    <x v="279"/>
    <x v="279"/>
    <n v="35"/>
    <n v="4"/>
    <x v="0"/>
  </r>
  <r>
    <x v="280"/>
    <x v="280"/>
    <n v="45"/>
    <n v="4"/>
    <x v="0"/>
  </r>
  <r>
    <x v="281"/>
    <x v="281"/>
    <n v="45"/>
    <n v="4"/>
    <x v="0"/>
  </r>
  <r>
    <x v="282"/>
    <x v="282"/>
    <n v="45"/>
    <n v="4"/>
    <x v="0"/>
  </r>
  <r>
    <x v="283"/>
    <x v="283"/>
    <n v="45"/>
    <n v="4"/>
    <x v="0"/>
  </r>
  <r>
    <x v="284"/>
    <x v="284"/>
    <n v="40"/>
    <n v="4"/>
    <x v="0"/>
  </r>
  <r>
    <x v="285"/>
    <x v="285"/>
    <n v="40"/>
    <n v="4"/>
    <x v="0"/>
  </r>
  <r>
    <x v="286"/>
    <x v="286"/>
    <n v="15"/>
    <n v="4"/>
    <x v="0"/>
  </r>
  <r>
    <x v="287"/>
    <x v="287"/>
    <n v="0"/>
    <n v="4"/>
    <x v="1"/>
  </r>
  <r>
    <x v="288"/>
    <x v="288"/>
    <n v="0"/>
    <n v="3"/>
    <x v="1"/>
  </r>
  <r>
    <x v="289"/>
    <x v="289"/>
    <n v="0"/>
    <n v="3"/>
    <x v="1"/>
  </r>
  <r>
    <x v="290"/>
    <x v="290"/>
    <n v="30"/>
    <n v="3"/>
    <x v="0"/>
  </r>
  <r>
    <x v="291"/>
    <x v="291"/>
    <n v="40"/>
    <n v="3"/>
    <x v="0"/>
  </r>
  <r>
    <x v="292"/>
    <x v="292"/>
    <n v="40"/>
    <n v="3"/>
    <x v="0"/>
  </r>
  <r>
    <x v="293"/>
    <x v="293"/>
    <n v="40"/>
    <n v="3"/>
    <x v="0"/>
  </r>
  <r>
    <x v="294"/>
    <x v="294"/>
    <n v="40"/>
    <n v="3"/>
    <x v="0"/>
  </r>
  <r>
    <x v="295"/>
    <x v="295"/>
    <n v="30"/>
    <n v="3"/>
    <x v="0"/>
  </r>
  <r>
    <x v="296"/>
    <x v="296"/>
    <n v="40"/>
    <n v="3"/>
    <x v="0"/>
  </r>
  <r>
    <x v="297"/>
    <x v="297"/>
    <n v="40"/>
    <n v="3"/>
    <x v="0"/>
  </r>
  <r>
    <x v="298"/>
    <x v="298"/>
    <n v="40"/>
    <n v="3"/>
    <x v="0"/>
  </r>
  <r>
    <x v="299"/>
    <x v="299"/>
    <n v="40"/>
    <n v="3"/>
    <x v="0"/>
  </r>
  <r>
    <x v="300"/>
    <x v="300"/>
    <n v="40"/>
    <n v="3"/>
    <x v="0"/>
  </r>
  <r>
    <x v="301"/>
    <x v="301"/>
    <n v="40"/>
    <n v="3"/>
    <x v="0"/>
  </r>
  <r>
    <x v="302"/>
    <x v="302"/>
    <n v="40"/>
    <n v="3"/>
    <x v="0"/>
  </r>
  <r>
    <x v="303"/>
    <x v="303"/>
    <n v="40"/>
    <n v="3"/>
    <x v="0"/>
  </r>
  <r>
    <x v="304"/>
    <x v="304"/>
    <n v="40"/>
    <n v="3"/>
    <x v="0"/>
  </r>
  <r>
    <x v="305"/>
    <x v="305"/>
    <n v="15"/>
    <n v="3"/>
    <x v="0"/>
  </r>
  <r>
    <x v="306"/>
    <x v="306"/>
    <n v="0"/>
    <n v="3"/>
    <x v="1"/>
  </r>
  <r>
    <x v="307"/>
    <x v="307"/>
    <n v="0"/>
    <n v="3"/>
    <x v="1"/>
  </r>
  <r>
    <x v="308"/>
    <x v="308"/>
    <n v="0"/>
    <n v="3"/>
    <x v="1"/>
  </r>
  <r>
    <x v="309"/>
    <x v="309"/>
    <n v="15"/>
    <n v="3"/>
    <x v="0"/>
  </r>
  <r>
    <x v="310"/>
    <x v="310"/>
    <n v="30"/>
    <n v="3"/>
    <x v="0"/>
  </r>
  <r>
    <x v="311"/>
    <x v="311"/>
    <n v="30"/>
    <n v="3"/>
    <x v="0"/>
  </r>
  <r>
    <x v="312"/>
    <x v="312"/>
    <n v="30"/>
    <n v="3"/>
    <x v="0"/>
  </r>
  <r>
    <x v="313"/>
    <x v="313"/>
    <n v="30"/>
    <n v="3"/>
    <x v="0"/>
  </r>
  <r>
    <x v="314"/>
    <x v="314"/>
    <n v="15"/>
    <n v="2"/>
    <x v="0"/>
  </r>
  <r>
    <x v="315"/>
    <x v="315"/>
    <n v="15"/>
    <n v="2"/>
    <x v="0"/>
  </r>
  <r>
    <x v="316"/>
    <x v="316"/>
    <n v="15"/>
    <n v="2"/>
    <x v="0"/>
  </r>
  <r>
    <x v="317"/>
    <x v="317"/>
    <n v="15"/>
    <n v="2"/>
    <x v="0"/>
  </r>
  <r>
    <x v="318"/>
    <x v="318"/>
    <n v="15"/>
    <n v="1"/>
    <x v="0"/>
  </r>
  <r>
    <x v="319"/>
    <x v="319"/>
    <n v="15"/>
    <n v="1"/>
    <x v="0"/>
  </r>
  <r>
    <x v="320"/>
    <x v="320"/>
    <n v="15"/>
    <n v="1"/>
    <x v="0"/>
  </r>
  <r>
    <x v="321"/>
    <x v="321"/>
    <n v="0"/>
    <n v="1"/>
    <x v="1"/>
  </r>
  <r>
    <x v="322"/>
    <x v="322"/>
    <n v="0"/>
    <n v="1"/>
    <x v="1"/>
  </r>
  <r>
    <x v="323"/>
    <x v="323"/>
    <n v="0"/>
    <n v="1"/>
    <x v="1"/>
  </r>
  <r>
    <x v="324"/>
    <x v="324"/>
    <n v="0"/>
    <n v="1"/>
    <x v="1"/>
  </r>
  <r>
    <x v="325"/>
    <x v="325"/>
    <n v="0"/>
    <n v="1"/>
    <x v="1"/>
  </r>
  <r>
    <x v="326"/>
    <x v="326"/>
    <n v="0"/>
    <n v="1"/>
    <x v="1"/>
  </r>
  <r>
    <x v="327"/>
    <x v="327"/>
    <n v="0"/>
    <n v="1"/>
    <x v="1"/>
  </r>
  <r>
    <x v="328"/>
    <x v="328"/>
    <n v="0"/>
    <n v="1"/>
    <x v="1"/>
  </r>
  <r>
    <x v="329"/>
    <x v="329"/>
    <n v="15"/>
    <n v="1"/>
    <x v="0"/>
  </r>
  <r>
    <x v="330"/>
    <x v="330"/>
    <n v="15"/>
    <n v="1"/>
    <x v="0"/>
  </r>
  <r>
    <x v="331"/>
    <x v="331"/>
    <n v="15"/>
    <n v="1"/>
    <x v="0"/>
  </r>
  <r>
    <x v="332"/>
    <x v="332"/>
    <n v="15"/>
    <n v="1"/>
    <x v="0"/>
  </r>
  <r>
    <x v="333"/>
    <x v="333"/>
    <n v="15"/>
    <n v="1"/>
    <x v="0"/>
  </r>
  <r>
    <x v="334"/>
    <x v="334"/>
    <n v="15"/>
    <n v="1"/>
    <x v="0"/>
  </r>
  <r>
    <x v="335"/>
    <x v="335"/>
    <n v="15"/>
    <n v="1"/>
    <x v="0"/>
  </r>
  <r>
    <x v="336"/>
    <x v="336"/>
    <n v="15"/>
    <n v="1"/>
    <x v="0"/>
  </r>
  <r>
    <x v="337"/>
    <x v="337"/>
    <n v="15"/>
    <n v="1"/>
    <x v="0"/>
  </r>
  <r>
    <x v="338"/>
    <x v="338"/>
    <n v="15"/>
    <n v="1"/>
    <x v="0"/>
  </r>
  <r>
    <x v="339"/>
    <x v="339"/>
    <n v="15"/>
    <n v="1"/>
    <x v="0"/>
  </r>
  <r>
    <x v="340"/>
    <x v="340"/>
    <n v="15"/>
    <n v="1"/>
    <x v="0"/>
  </r>
  <r>
    <x v="341"/>
    <x v="341"/>
    <n v="15"/>
    <n v="1"/>
    <x v="0"/>
  </r>
  <r>
    <x v="342"/>
    <x v="342"/>
    <n v="15"/>
    <n v="1"/>
    <x v="0"/>
  </r>
  <r>
    <x v="343"/>
    <x v="343"/>
    <n v="15"/>
    <n v="1"/>
    <x v="0"/>
  </r>
  <r>
    <x v="344"/>
    <x v="344"/>
    <n v="15"/>
    <n v="1"/>
    <x v="0"/>
  </r>
  <r>
    <x v="345"/>
    <x v="345"/>
    <n v="15"/>
    <n v="1"/>
    <x v="0"/>
  </r>
  <r>
    <x v="346"/>
    <x v="346"/>
    <n v="0"/>
    <n v="1"/>
    <x v="1"/>
  </r>
  <r>
    <x v="347"/>
    <x v="347"/>
    <n v="0"/>
    <n v="1"/>
    <x v="1"/>
  </r>
  <r>
    <x v="348"/>
    <x v="348"/>
    <n v="0"/>
    <n v="1"/>
    <x v="1"/>
  </r>
  <r>
    <x v="349"/>
    <x v="349"/>
    <n v="0"/>
    <n v="1"/>
    <x v="1"/>
  </r>
  <r>
    <x v="0"/>
    <x v="0"/>
    <n v="50"/>
    <n v="9"/>
    <x v="0"/>
  </r>
  <r>
    <x v="1"/>
    <x v="1"/>
    <n v="40"/>
    <n v="9"/>
    <x v="0"/>
  </r>
  <r>
    <x v="2"/>
    <x v="2"/>
    <n v="40"/>
    <n v="7"/>
    <x v="0"/>
  </r>
  <r>
    <x v="3"/>
    <x v="3"/>
    <n v="40"/>
    <n v="9"/>
    <x v="0"/>
  </r>
  <r>
    <x v="4"/>
    <x v="4"/>
    <n v="40"/>
    <n v="9"/>
    <x v="0"/>
  </r>
  <r>
    <x v="5"/>
    <x v="5"/>
    <n v="50"/>
    <n v="9"/>
    <x v="0"/>
  </r>
  <r>
    <x v="6"/>
    <x v="6"/>
    <n v="65"/>
    <n v="9"/>
    <x v="0"/>
  </r>
  <r>
    <x v="7"/>
    <x v="7"/>
    <n v="55"/>
    <n v="9"/>
    <x v="0"/>
  </r>
  <r>
    <x v="8"/>
    <x v="8"/>
    <n v="70"/>
    <n v="9"/>
    <x v="0"/>
  </r>
  <r>
    <x v="9"/>
    <x v="9"/>
    <n v="70"/>
    <n v="9"/>
    <x v="0"/>
  </r>
  <r>
    <x v="10"/>
    <x v="10"/>
    <n v="60"/>
    <n v="9"/>
    <x v="0"/>
  </r>
  <r>
    <x v="11"/>
    <x v="11"/>
    <n v="60"/>
    <n v="9"/>
    <x v="0"/>
  </r>
  <r>
    <x v="12"/>
    <x v="12"/>
    <n v="70"/>
    <n v="9"/>
    <x v="0"/>
  </r>
  <r>
    <x v="13"/>
    <x v="13"/>
    <n v="70"/>
    <n v="9"/>
    <x v="0"/>
  </r>
  <r>
    <x v="14"/>
    <x v="14"/>
    <n v="55"/>
    <n v="9"/>
    <x v="0"/>
  </r>
  <r>
    <x v="15"/>
    <x v="15"/>
    <n v="55"/>
    <n v="9"/>
    <x v="0"/>
  </r>
  <r>
    <x v="16"/>
    <x v="16"/>
    <n v="65"/>
    <n v="9"/>
    <x v="0"/>
  </r>
  <r>
    <x v="17"/>
    <x v="17"/>
    <n v="65"/>
    <n v="9"/>
    <x v="0"/>
  </r>
  <r>
    <x v="18"/>
    <x v="18"/>
    <n v="60"/>
    <n v="9"/>
    <x v="0"/>
  </r>
  <r>
    <x v="19"/>
    <x v="19"/>
    <n v="60"/>
    <n v="9"/>
    <x v="0"/>
  </r>
  <r>
    <x v="20"/>
    <x v="20"/>
    <n v="80"/>
    <n v="9"/>
    <x v="0"/>
  </r>
  <r>
    <x v="21"/>
    <x v="21"/>
    <n v="35"/>
    <n v="9"/>
    <x v="0"/>
  </r>
  <r>
    <x v="22"/>
    <x v="22"/>
    <n v="20"/>
    <n v="9"/>
    <x v="0"/>
  </r>
  <r>
    <x v="23"/>
    <x v="23"/>
    <n v="20"/>
    <n v="9"/>
    <x v="0"/>
  </r>
  <r>
    <x v="24"/>
    <x v="24"/>
    <n v="10"/>
    <n v="9"/>
    <x v="0"/>
  </r>
  <r>
    <x v="25"/>
    <x v="25"/>
    <n v="65"/>
    <n v="9"/>
    <x v="0"/>
  </r>
  <r>
    <x v="26"/>
    <x v="26"/>
    <n v="50"/>
    <n v="9"/>
    <x v="0"/>
  </r>
  <r>
    <x v="27"/>
    <x v="27"/>
    <n v="55"/>
    <n v="9"/>
    <x v="0"/>
  </r>
  <r>
    <x v="28"/>
    <x v="28"/>
    <n v="80"/>
    <n v="9"/>
    <x v="0"/>
  </r>
  <r>
    <x v="29"/>
    <x v="29"/>
    <n v="65"/>
    <n v="9"/>
    <x v="0"/>
  </r>
  <r>
    <x v="30"/>
    <x v="30"/>
    <n v="65"/>
    <n v="9"/>
    <x v="0"/>
  </r>
  <r>
    <x v="31"/>
    <x v="31"/>
    <n v="80"/>
    <n v="9"/>
    <x v="0"/>
  </r>
  <r>
    <x v="32"/>
    <x v="32"/>
    <n v="80"/>
    <n v="9"/>
    <x v="0"/>
  </r>
  <r>
    <x v="33"/>
    <x v="33"/>
    <n v="80"/>
    <n v="9"/>
    <x v="0"/>
  </r>
  <r>
    <x v="34"/>
    <x v="34"/>
    <n v="80"/>
    <n v="9"/>
    <x v="0"/>
  </r>
  <r>
    <x v="35"/>
    <x v="35"/>
    <n v="80"/>
    <n v="9"/>
    <x v="0"/>
  </r>
  <r>
    <x v="36"/>
    <x v="36"/>
    <n v="80"/>
    <n v="9"/>
    <x v="0"/>
  </r>
  <r>
    <x v="37"/>
    <x v="37"/>
    <n v="80"/>
    <n v="9"/>
    <x v="0"/>
  </r>
  <r>
    <x v="38"/>
    <x v="38"/>
    <n v="80"/>
    <n v="9"/>
    <x v="0"/>
  </r>
  <r>
    <x v="39"/>
    <x v="39"/>
    <n v="55"/>
    <n v="9"/>
    <x v="0"/>
  </r>
  <r>
    <x v="40"/>
    <x v="40"/>
    <n v="55"/>
    <n v="9"/>
    <x v="0"/>
  </r>
  <r>
    <x v="41"/>
    <x v="41"/>
    <n v="55"/>
    <n v="9"/>
    <x v="0"/>
  </r>
  <r>
    <x v="42"/>
    <x v="42"/>
    <n v="70"/>
    <n v="9"/>
    <x v="0"/>
  </r>
  <r>
    <x v="43"/>
    <x v="43"/>
    <n v="80"/>
    <n v="9"/>
    <x v="0"/>
  </r>
  <r>
    <x v="44"/>
    <x v="44"/>
    <n v="70"/>
    <n v="9"/>
    <x v="0"/>
  </r>
  <r>
    <x v="45"/>
    <x v="45"/>
    <n v="80"/>
    <n v="9"/>
    <x v="0"/>
  </r>
  <r>
    <x v="46"/>
    <x v="46"/>
    <n v="80"/>
    <n v="9"/>
    <x v="0"/>
  </r>
  <r>
    <x v="47"/>
    <x v="47"/>
    <n v="80"/>
    <n v="9"/>
    <x v="0"/>
  </r>
  <r>
    <x v="48"/>
    <x v="48"/>
    <n v="75"/>
    <n v="9"/>
    <x v="0"/>
  </r>
  <r>
    <x v="49"/>
    <x v="49"/>
    <n v="75"/>
    <n v="9"/>
    <x v="0"/>
  </r>
  <r>
    <x v="50"/>
    <x v="50"/>
    <n v="50"/>
    <n v="9"/>
    <x v="0"/>
  </r>
  <r>
    <x v="51"/>
    <x v="51"/>
    <n v="65"/>
    <n v="9"/>
    <x v="0"/>
  </r>
  <r>
    <x v="52"/>
    <x v="52"/>
    <n v="65"/>
    <n v="9"/>
    <x v="0"/>
  </r>
  <r>
    <x v="53"/>
    <x v="53"/>
    <n v="70"/>
    <n v="9"/>
    <x v="0"/>
  </r>
  <r>
    <x v="54"/>
    <x v="54"/>
    <n v="70"/>
    <n v="9"/>
    <x v="0"/>
  </r>
  <r>
    <x v="55"/>
    <x v="55"/>
    <n v="70"/>
    <n v="9"/>
    <x v="0"/>
  </r>
  <r>
    <x v="56"/>
    <x v="56"/>
    <n v="70"/>
    <n v="9"/>
    <x v="0"/>
  </r>
  <r>
    <x v="57"/>
    <x v="57"/>
    <n v="75"/>
    <n v="9"/>
    <x v="0"/>
  </r>
  <r>
    <x v="58"/>
    <x v="58"/>
    <n v="60"/>
    <n v="9"/>
    <x v="0"/>
  </r>
  <r>
    <x v="59"/>
    <x v="59"/>
    <n v="60"/>
    <n v="9"/>
    <x v="0"/>
  </r>
  <r>
    <x v="60"/>
    <x v="60"/>
    <n v="60"/>
    <n v="9"/>
    <x v="0"/>
  </r>
  <r>
    <x v="61"/>
    <x v="61"/>
    <n v="65"/>
    <n v="9"/>
    <x v="0"/>
  </r>
  <r>
    <x v="62"/>
    <x v="62"/>
    <n v="80"/>
    <n v="9"/>
    <x v="0"/>
  </r>
  <r>
    <x v="63"/>
    <x v="63"/>
    <n v="50"/>
    <n v="9"/>
    <x v="0"/>
  </r>
  <r>
    <x v="64"/>
    <x v="64"/>
    <n v="55"/>
    <n v="9"/>
    <x v="0"/>
  </r>
  <r>
    <x v="65"/>
    <x v="65"/>
    <n v="50"/>
    <n v="9"/>
    <x v="0"/>
  </r>
  <r>
    <x v="66"/>
    <x v="66"/>
    <n v="40"/>
    <n v="9"/>
    <x v="0"/>
  </r>
  <r>
    <x v="67"/>
    <x v="67"/>
    <n v="15"/>
    <n v="9"/>
    <x v="0"/>
  </r>
  <r>
    <x v="68"/>
    <x v="68"/>
    <n v="15"/>
    <n v="9"/>
    <x v="0"/>
  </r>
  <r>
    <x v="69"/>
    <x v="69"/>
    <n v="0"/>
    <n v="9"/>
    <x v="1"/>
  </r>
  <r>
    <x v="70"/>
    <x v="70"/>
    <n v="0"/>
    <n v="9"/>
    <x v="1"/>
  </r>
  <r>
    <x v="71"/>
    <x v="71"/>
    <n v="35"/>
    <n v="9"/>
    <x v="0"/>
  </r>
  <r>
    <x v="72"/>
    <x v="72"/>
    <n v="35"/>
    <n v="9"/>
    <x v="0"/>
  </r>
  <r>
    <x v="73"/>
    <x v="73"/>
    <n v="50"/>
    <n v="9"/>
    <x v="0"/>
  </r>
  <r>
    <x v="74"/>
    <x v="74"/>
    <n v="40"/>
    <n v="9"/>
    <x v="0"/>
  </r>
  <r>
    <x v="75"/>
    <x v="75"/>
    <n v="55"/>
    <n v="9"/>
    <x v="0"/>
  </r>
  <r>
    <x v="76"/>
    <x v="76"/>
    <n v="70"/>
    <n v="9"/>
    <x v="0"/>
  </r>
  <r>
    <x v="77"/>
    <x v="77"/>
    <n v="70"/>
    <n v="9"/>
    <x v="0"/>
  </r>
  <r>
    <x v="78"/>
    <x v="78"/>
    <n v="70"/>
    <n v="9"/>
    <x v="0"/>
  </r>
  <r>
    <x v="79"/>
    <x v="79"/>
    <n v="65"/>
    <n v="9"/>
    <x v="0"/>
  </r>
  <r>
    <x v="80"/>
    <x v="80"/>
    <n v="65"/>
    <n v="9"/>
    <x v="0"/>
  </r>
  <r>
    <x v="81"/>
    <x v="81"/>
    <n v="65"/>
    <n v="9"/>
    <x v="0"/>
  </r>
  <r>
    <x v="82"/>
    <x v="82"/>
    <n v="65"/>
    <n v="9"/>
    <x v="0"/>
  </r>
  <r>
    <x v="83"/>
    <x v="83"/>
    <n v="65"/>
    <n v="9"/>
    <x v="0"/>
  </r>
  <r>
    <x v="84"/>
    <x v="84"/>
    <n v="65"/>
    <n v="9"/>
    <x v="0"/>
  </r>
  <r>
    <x v="85"/>
    <x v="85"/>
    <n v="65"/>
    <n v="9"/>
    <x v="0"/>
  </r>
  <r>
    <x v="86"/>
    <x v="86"/>
    <n v="80"/>
    <n v="9"/>
    <x v="0"/>
  </r>
  <r>
    <x v="87"/>
    <x v="87"/>
    <n v="80"/>
    <n v="9"/>
    <x v="0"/>
  </r>
  <r>
    <x v="88"/>
    <x v="88"/>
    <n v="75"/>
    <n v="9"/>
    <x v="0"/>
  </r>
  <r>
    <x v="89"/>
    <x v="89"/>
    <n v="75"/>
    <n v="9"/>
    <x v="0"/>
  </r>
  <r>
    <x v="90"/>
    <x v="90"/>
    <n v="60"/>
    <n v="9"/>
    <x v="0"/>
  </r>
  <r>
    <x v="91"/>
    <x v="91"/>
    <n v="50"/>
    <n v="9"/>
    <x v="0"/>
  </r>
  <r>
    <x v="92"/>
    <x v="92"/>
    <n v="45"/>
    <n v="9"/>
    <x v="0"/>
  </r>
  <r>
    <x v="93"/>
    <x v="93"/>
    <n v="35"/>
    <n v="9"/>
    <x v="0"/>
  </r>
  <r>
    <x v="94"/>
    <x v="94"/>
    <n v="45"/>
    <n v="9"/>
    <x v="0"/>
  </r>
  <r>
    <x v="95"/>
    <x v="95"/>
    <n v="45"/>
    <n v="9"/>
    <x v="0"/>
  </r>
  <r>
    <x v="96"/>
    <x v="96"/>
    <n v="50"/>
    <n v="9"/>
    <x v="0"/>
  </r>
  <r>
    <x v="97"/>
    <x v="97"/>
    <n v="40"/>
    <n v="9"/>
    <x v="0"/>
  </r>
  <r>
    <x v="98"/>
    <x v="98"/>
    <n v="25"/>
    <n v="9"/>
    <x v="0"/>
  </r>
  <r>
    <x v="99"/>
    <x v="99"/>
    <n v="25"/>
    <n v="9"/>
    <x v="0"/>
  </r>
  <r>
    <x v="100"/>
    <x v="100"/>
    <n v="40"/>
    <n v="9"/>
    <x v="0"/>
  </r>
  <r>
    <x v="101"/>
    <x v="101"/>
    <n v="50"/>
    <n v="9"/>
    <x v="0"/>
  </r>
  <r>
    <x v="102"/>
    <x v="102"/>
    <n v="65"/>
    <n v="9"/>
    <x v="0"/>
  </r>
  <r>
    <x v="103"/>
    <x v="103"/>
    <n v="80"/>
    <n v="9"/>
    <x v="0"/>
  </r>
  <r>
    <x v="104"/>
    <x v="104"/>
    <n v="80"/>
    <n v="9"/>
    <x v="0"/>
  </r>
  <r>
    <x v="105"/>
    <x v="105"/>
    <n v="80"/>
    <n v="9"/>
    <x v="0"/>
  </r>
  <r>
    <x v="106"/>
    <x v="106"/>
    <n v="80"/>
    <n v="9"/>
    <x v="0"/>
  </r>
  <r>
    <x v="107"/>
    <x v="107"/>
    <n v="75"/>
    <n v="9"/>
    <x v="0"/>
  </r>
  <r>
    <x v="108"/>
    <x v="108"/>
    <n v="60"/>
    <n v="9"/>
    <x v="0"/>
  </r>
  <r>
    <x v="109"/>
    <x v="109"/>
    <n v="60"/>
    <n v="9"/>
    <x v="0"/>
  </r>
  <r>
    <x v="110"/>
    <x v="110"/>
    <n v="60"/>
    <n v="9"/>
    <x v="0"/>
  </r>
  <r>
    <x v="111"/>
    <x v="111"/>
    <n v="60"/>
    <n v="9"/>
    <x v="0"/>
  </r>
  <r>
    <x v="112"/>
    <x v="112"/>
    <n v="75"/>
    <n v="9"/>
    <x v="0"/>
  </r>
  <r>
    <x v="113"/>
    <x v="113"/>
    <n v="80"/>
    <n v="9"/>
    <x v="0"/>
  </r>
  <r>
    <x v="114"/>
    <x v="114"/>
    <n v="80"/>
    <n v="9"/>
    <x v="0"/>
  </r>
  <r>
    <x v="115"/>
    <x v="115"/>
    <n v="70"/>
    <n v="9"/>
    <x v="0"/>
  </r>
  <r>
    <x v="116"/>
    <x v="116"/>
    <n v="70"/>
    <n v="9"/>
    <x v="0"/>
  </r>
  <r>
    <x v="117"/>
    <x v="117"/>
    <n v="75"/>
    <n v="9"/>
    <x v="0"/>
  </r>
  <r>
    <x v="118"/>
    <x v="118"/>
    <n v="75"/>
    <n v="9"/>
    <x v="0"/>
  </r>
  <r>
    <x v="119"/>
    <x v="119"/>
    <n v="75"/>
    <n v="9"/>
    <x v="0"/>
  </r>
  <r>
    <x v="120"/>
    <x v="120"/>
    <n v="50"/>
    <n v="9"/>
    <x v="0"/>
  </r>
  <r>
    <x v="121"/>
    <x v="121"/>
    <n v="40"/>
    <n v="9"/>
    <x v="0"/>
  </r>
  <r>
    <x v="122"/>
    <x v="122"/>
    <n v="55"/>
    <n v="9"/>
    <x v="0"/>
  </r>
  <r>
    <x v="123"/>
    <x v="123"/>
    <n v="70"/>
    <n v="9"/>
    <x v="0"/>
  </r>
  <r>
    <x v="124"/>
    <x v="124"/>
    <n v="65"/>
    <n v="9"/>
    <x v="0"/>
  </r>
  <r>
    <x v="125"/>
    <x v="125"/>
    <n v="80"/>
    <n v="9"/>
    <x v="0"/>
  </r>
  <r>
    <x v="126"/>
    <x v="126"/>
    <n v="80"/>
    <n v="9"/>
    <x v="0"/>
  </r>
  <r>
    <x v="127"/>
    <x v="127"/>
    <n v="80"/>
    <n v="9"/>
    <x v="0"/>
  </r>
  <r>
    <x v="128"/>
    <x v="128"/>
    <n v="80"/>
    <n v="9"/>
    <x v="0"/>
  </r>
  <r>
    <x v="129"/>
    <x v="129"/>
    <n v="80"/>
    <n v="9"/>
    <x v="0"/>
  </r>
  <r>
    <x v="130"/>
    <x v="130"/>
    <n v="75"/>
    <n v="9"/>
    <x v="0"/>
  </r>
  <r>
    <x v="131"/>
    <x v="131"/>
    <n v="75"/>
    <n v="9"/>
    <x v="0"/>
  </r>
  <r>
    <x v="132"/>
    <x v="132"/>
    <n v="75"/>
    <n v="9"/>
    <x v="0"/>
  </r>
  <r>
    <x v="133"/>
    <x v="133"/>
    <n v="75"/>
    <n v="9"/>
    <x v="0"/>
  </r>
  <r>
    <x v="134"/>
    <x v="134"/>
    <n v="45"/>
    <n v="9"/>
    <x v="0"/>
  </r>
  <r>
    <x v="135"/>
    <x v="135"/>
    <n v="30"/>
    <n v="9"/>
    <x v="0"/>
  </r>
  <r>
    <x v="136"/>
    <x v="136"/>
    <n v="30"/>
    <n v="9"/>
    <x v="0"/>
  </r>
  <r>
    <x v="137"/>
    <x v="137"/>
    <n v="15"/>
    <n v="9"/>
    <x v="0"/>
  </r>
  <r>
    <x v="138"/>
    <x v="138"/>
    <n v="30"/>
    <n v="7"/>
    <x v="0"/>
  </r>
  <r>
    <x v="139"/>
    <x v="139"/>
    <n v="15"/>
    <n v="7"/>
    <x v="0"/>
  </r>
  <r>
    <x v="140"/>
    <x v="140"/>
    <n v="0"/>
    <n v="7"/>
    <x v="1"/>
  </r>
  <r>
    <x v="141"/>
    <x v="141"/>
    <n v="0"/>
    <n v="7"/>
    <x v="1"/>
  </r>
  <r>
    <x v="142"/>
    <x v="142"/>
    <n v="30"/>
    <n v="7"/>
    <x v="0"/>
  </r>
  <r>
    <x v="143"/>
    <x v="143"/>
    <n v="30"/>
    <n v="7"/>
    <x v="0"/>
  </r>
  <r>
    <x v="144"/>
    <x v="144"/>
    <n v="30"/>
    <n v="7"/>
    <x v="0"/>
  </r>
  <r>
    <x v="145"/>
    <x v="145"/>
    <n v="30"/>
    <n v="7"/>
    <x v="0"/>
  </r>
  <r>
    <x v="146"/>
    <x v="146"/>
    <n v="35"/>
    <n v="7"/>
    <x v="0"/>
  </r>
  <r>
    <x v="147"/>
    <x v="147"/>
    <n v="45"/>
    <n v="7"/>
    <x v="0"/>
  </r>
  <r>
    <x v="148"/>
    <x v="148"/>
    <n v="45"/>
    <n v="7"/>
    <x v="0"/>
  </r>
  <r>
    <x v="149"/>
    <x v="149"/>
    <n v="60"/>
    <n v="7"/>
    <x v="0"/>
  </r>
  <r>
    <x v="150"/>
    <x v="150"/>
    <n v="60"/>
    <n v="7"/>
    <x v="0"/>
  </r>
  <r>
    <x v="151"/>
    <x v="151"/>
    <n v="60"/>
    <n v="7"/>
    <x v="0"/>
  </r>
  <r>
    <x v="152"/>
    <x v="152"/>
    <n v="60"/>
    <n v="7"/>
    <x v="0"/>
  </r>
  <r>
    <x v="153"/>
    <x v="153"/>
    <n v="60"/>
    <n v="7"/>
    <x v="0"/>
  </r>
  <r>
    <x v="154"/>
    <x v="154"/>
    <n v="45"/>
    <n v="7"/>
    <x v="0"/>
  </r>
  <r>
    <x v="155"/>
    <x v="155"/>
    <n v="45"/>
    <n v="7"/>
    <x v="0"/>
  </r>
  <r>
    <x v="156"/>
    <x v="156"/>
    <n v="40"/>
    <n v="7"/>
    <x v="0"/>
  </r>
  <r>
    <x v="157"/>
    <x v="157"/>
    <n v="40"/>
    <n v="7"/>
    <x v="0"/>
  </r>
  <r>
    <x v="158"/>
    <x v="158"/>
    <n v="55"/>
    <n v="7"/>
    <x v="0"/>
  </r>
  <r>
    <x v="159"/>
    <x v="159"/>
    <n v="55"/>
    <n v="7"/>
    <x v="0"/>
  </r>
  <r>
    <x v="160"/>
    <x v="160"/>
    <n v="55"/>
    <n v="7"/>
    <x v="0"/>
  </r>
  <r>
    <x v="161"/>
    <x v="161"/>
    <n v="55"/>
    <n v="7"/>
    <x v="0"/>
  </r>
  <r>
    <x v="162"/>
    <x v="162"/>
    <n v="40"/>
    <n v="7"/>
    <x v="0"/>
  </r>
  <r>
    <x v="163"/>
    <x v="163"/>
    <n v="40"/>
    <n v="7"/>
    <x v="0"/>
  </r>
  <r>
    <x v="164"/>
    <x v="164"/>
    <n v="40"/>
    <n v="7"/>
    <x v="0"/>
  </r>
  <r>
    <x v="165"/>
    <x v="165"/>
    <n v="40"/>
    <n v="7"/>
    <x v="0"/>
  </r>
  <r>
    <x v="166"/>
    <x v="166"/>
    <n v="55"/>
    <n v="7"/>
    <x v="0"/>
  </r>
  <r>
    <x v="167"/>
    <x v="167"/>
    <n v="60"/>
    <n v="7"/>
    <x v="0"/>
  </r>
  <r>
    <x v="168"/>
    <x v="168"/>
    <n v="60"/>
    <n v="7"/>
    <x v="0"/>
  </r>
  <r>
    <x v="169"/>
    <x v="169"/>
    <n v="60"/>
    <n v="7"/>
    <x v="0"/>
  </r>
  <r>
    <x v="170"/>
    <x v="170"/>
    <n v="60"/>
    <n v="7"/>
    <x v="0"/>
  </r>
  <r>
    <x v="171"/>
    <x v="171"/>
    <n v="55"/>
    <n v="7"/>
    <x v="0"/>
  </r>
  <r>
    <x v="172"/>
    <x v="172"/>
    <n v="30"/>
    <n v="7"/>
    <x v="0"/>
  </r>
  <r>
    <x v="173"/>
    <x v="173"/>
    <n v="30"/>
    <n v="7"/>
    <x v="0"/>
  </r>
  <r>
    <x v="174"/>
    <x v="174"/>
    <n v="15"/>
    <n v="7"/>
    <x v="0"/>
  </r>
  <r>
    <x v="175"/>
    <x v="175"/>
    <n v="0"/>
    <n v="7"/>
    <x v="1"/>
  </r>
  <r>
    <x v="176"/>
    <x v="176"/>
    <n v="0"/>
    <n v="7"/>
    <x v="1"/>
  </r>
  <r>
    <x v="177"/>
    <x v="177"/>
    <n v="0"/>
    <n v="7"/>
    <x v="1"/>
  </r>
  <r>
    <x v="178"/>
    <x v="178"/>
    <n v="30"/>
    <n v="7"/>
    <x v="0"/>
  </r>
  <r>
    <x v="179"/>
    <x v="179"/>
    <n v="60"/>
    <n v="7"/>
    <x v="0"/>
  </r>
  <r>
    <x v="180"/>
    <x v="180"/>
    <n v="50"/>
    <n v="7"/>
    <x v="0"/>
  </r>
  <r>
    <x v="181"/>
    <x v="181"/>
    <n v="50"/>
    <n v="7"/>
    <x v="0"/>
  </r>
  <r>
    <x v="182"/>
    <x v="182"/>
    <n v="35"/>
    <n v="7"/>
    <x v="0"/>
  </r>
  <r>
    <x v="183"/>
    <x v="183"/>
    <n v="15"/>
    <n v="7"/>
    <x v="0"/>
  </r>
  <r>
    <x v="184"/>
    <x v="184"/>
    <n v="20"/>
    <n v="7"/>
    <x v="0"/>
  </r>
  <r>
    <x v="185"/>
    <x v="185"/>
    <n v="35"/>
    <n v="7"/>
    <x v="0"/>
  </r>
  <r>
    <x v="186"/>
    <x v="186"/>
    <n v="35"/>
    <n v="7"/>
    <x v="0"/>
  </r>
  <r>
    <x v="187"/>
    <x v="187"/>
    <n v="45"/>
    <n v="7"/>
    <x v="0"/>
  </r>
  <r>
    <x v="188"/>
    <x v="188"/>
    <n v="45"/>
    <n v="7"/>
    <x v="0"/>
  </r>
  <r>
    <x v="189"/>
    <x v="189"/>
    <n v="45"/>
    <n v="7"/>
    <x v="0"/>
  </r>
  <r>
    <x v="190"/>
    <x v="190"/>
    <n v="45"/>
    <n v="7"/>
    <x v="0"/>
  </r>
  <r>
    <x v="191"/>
    <x v="191"/>
    <n v="45"/>
    <n v="7"/>
    <x v="0"/>
  </r>
  <r>
    <x v="192"/>
    <x v="192"/>
    <n v="45"/>
    <n v="7"/>
    <x v="0"/>
  </r>
  <r>
    <x v="193"/>
    <x v="193"/>
    <n v="45"/>
    <n v="7"/>
    <x v="0"/>
  </r>
  <r>
    <x v="194"/>
    <x v="194"/>
    <n v="45"/>
    <n v="6"/>
    <x v="0"/>
  </r>
  <r>
    <x v="195"/>
    <x v="195"/>
    <n v="45"/>
    <n v="6"/>
    <x v="0"/>
  </r>
  <r>
    <x v="196"/>
    <x v="196"/>
    <n v="40"/>
    <n v="6"/>
    <x v="0"/>
  </r>
  <r>
    <x v="197"/>
    <x v="197"/>
    <n v="40"/>
    <n v="6"/>
    <x v="0"/>
  </r>
  <r>
    <x v="198"/>
    <x v="198"/>
    <n v="40"/>
    <n v="6"/>
    <x v="0"/>
  </r>
  <r>
    <x v="199"/>
    <x v="199"/>
    <n v="40"/>
    <n v="6"/>
    <x v="0"/>
  </r>
  <r>
    <x v="200"/>
    <x v="200"/>
    <n v="40"/>
    <n v="6"/>
    <x v="0"/>
  </r>
  <r>
    <x v="201"/>
    <x v="201"/>
    <n v="40"/>
    <n v="6"/>
    <x v="0"/>
  </r>
  <r>
    <x v="202"/>
    <x v="202"/>
    <n v="15"/>
    <n v="6"/>
    <x v="0"/>
  </r>
  <r>
    <x v="203"/>
    <x v="203"/>
    <n v="15"/>
    <n v="6"/>
    <x v="0"/>
  </r>
  <r>
    <x v="204"/>
    <x v="204"/>
    <n v="0"/>
    <n v="6"/>
    <x v="1"/>
  </r>
  <r>
    <x v="205"/>
    <x v="205"/>
    <n v="0"/>
    <n v="6"/>
    <x v="1"/>
  </r>
  <r>
    <x v="206"/>
    <x v="206"/>
    <n v="15"/>
    <n v="6"/>
    <x v="0"/>
  </r>
  <r>
    <x v="207"/>
    <x v="207"/>
    <n v="20"/>
    <n v="6"/>
    <x v="0"/>
  </r>
  <r>
    <x v="208"/>
    <x v="208"/>
    <n v="20"/>
    <n v="6"/>
    <x v="0"/>
  </r>
  <r>
    <x v="209"/>
    <x v="209"/>
    <n v="35"/>
    <n v="6"/>
    <x v="0"/>
  </r>
  <r>
    <x v="210"/>
    <x v="210"/>
    <n v="45"/>
    <n v="5"/>
    <x v="0"/>
  </r>
  <r>
    <x v="211"/>
    <x v="211"/>
    <n v="45"/>
    <n v="5"/>
    <x v="0"/>
  </r>
  <r>
    <x v="212"/>
    <x v="212"/>
    <n v="45"/>
    <n v="5"/>
    <x v="0"/>
  </r>
  <r>
    <x v="213"/>
    <x v="213"/>
    <n v="45"/>
    <n v="5"/>
    <x v="0"/>
  </r>
  <r>
    <x v="214"/>
    <x v="214"/>
    <n v="45"/>
    <n v="5"/>
    <x v="0"/>
  </r>
  <r>
    <x v="215"/>
    <x v="215"/>
    <n v="40"/>
    <n v="5"/>
    <x v="0"/>
  </r>
  <r>
    <x v="216"/>
    <x v="216"/>
    <n v="40"/>
    <n v="5"/>
    <x v="0"/>
  </r>
  <r>
    <x v="217"/>
    <x v="217"/>
    <n v="40"/>
    <n v="5"/>
    <x v="0"/>
  </r>
  <r>
    <x v="218"/>
    <x v="218"/>
    <n v="30"/>
    <n v="5"/>
    <x v="0"/>
  </r>
  <r>
    <x v="219"/>
    <x v="219"/>
    <n v="30"/>
    <n v="5"/>
    <x v="0"/>
  </r>
  <r>
    <x v="220"/>
    <x v="220"/>
    <n v="30"/>
    <n v="5"/>
    <x v="0"/>
  </r>
  <r>
    <x v="221"/>
    <x v="221"/>
    <n v="15"/>
    <n v="5"/>
    <x v="0"/>
  </r>
  <r>
    <x v="222"/>
    <x v="222"/>
    <n v="0"/>
    <n v="5"/>
    <x v="1"/>
  </r>
  <r>
    <x v="223"/>
    <x v="223"/>
    <n v="30"/>
    <n v="5"/>
    <x v="0"/>
  </r>
  <r>
    <x v="224"/>
    <x v="224"/>
    <n v="30"/>
    <n v="5"/>
    <x v="0"/>
  </r>
  <r>
    <x v="225"/>
    <x v="225"/>
    <n v="35"/>
    <n v="5"/>
    <x v="0"/>
  </r>
  <r>
    <x v="226"/>
    <x v="226"/>
    <n v="35"/>
    <n v="5"/>
    <x v="0"/>
  </r>
  <r>
    <x v="227"/>
    <x v="227"/>
    <n v="35"/>
    <n v="5"/>
    <x v="0"/>
  </r>
  <r>
    <x v="228"/>
    <x v="228"/>
    <n v="45"/>
    <n v="5"/>
    <x v="0"/>
  </r>
  <r>
    <x v="229"/>
    <x v="229"/>
    <n v="45"/>
    <n v="5"/>
    <x v="0"/>
  </r>
  <r>
    <x v="230"/>
    <x v="230"/>
    <n v="45"/>
    <n v="5"/>
    <x v="0"/>
  </r>
  <r>
    <x v="231"/>
    <x v="231"/>
    <n v="45"/>
    <n v="5"/>
    <x v="0"/>
  </r>
  <r>
    <x v="232"/>
    <x v="232"/>
    <n v="45"/>
    <n v="5"/>
    <x v="0"/>
  </r>
  <r>
    <x v="233"/>
    <x v="233"/>
    <n v="40"/>
    <n v="5"/>
    <x v="0"/>
  </r>
  <r>
    <x v="234"/>
    <x v="234"/>
    <n v="30"/>
    <n v="5"/>
    <x v="0"/>
  </r>
  <r>
    <x v="235"/>
    <x v="235"/>
    <n v="30"/>
    <n v="5"/>
    <x v="0"/>
  </r>
  <r>
    <x v="236"/>
    <x v="236"/>
    <n v="30"/>
    <n v="5"/>
    <x v="0"/>
  </r>
  <r>
    <x v="237"/>
    <x v="237"/>
    <n v="45"/>
    <n v="5"/>
    <x v="0"/>
  </r>
  <r>
    <x v="238"/>
    <x v="238"/>
    <n v="45"/>
    <n v="5"/>
    <x v="0"/>
  </r>
  <r>
    <x v="239"/>
    <x v="239"/>
    <n v="45"/>
    <n v="5"/>
    <x v="0"/>
  </r>
  <r>
    <x v="240"/>
    <x v="240"/>
    <n v="45"/>
    <n v="5"/>
    <x v="0"/>
  </r>
  <r>
    <x v="241"/>
    <x v="241"/>
    <n v="45"/>
    <n v="5"/>
    <x v="0"/>
  </r>
  <r>
    <x v="242"/>
    <x v="242"/>
    <n v="45"/>
    <n v="5"/>
    <x v="0"/>
  </r>
  <r>
    <x v="243"/>
    <x v="243"/>
    <n v="45"/>
    <n v="5"/>
    <x v="0"/>
  </r>
  <r>
    <x v="244"/>
    <x v="244"/>
    <n v="45"/>
    <n v="5"/>
    <x v="0"/>
  </r>
  <r>
    <x v="245"/>
    <x v="245"/>
    <n v="45"/>
    <n v="5"/>
    <x v="0"/>
  </r>
  <r>
    <x v="246"/>
    <x v="246"/>
    <n v="45"/>
    <n v="5"/>
    <x v="0"/>
  </r>
  <r>
    <x v="247"/>
    <x v="247"/>
    <n v="45"/>
    <n v="5"/>
    <x v="0"/>
  </r>
  <r>
    <x v="248"/>
    <x v="248"/>
    <n v="45"/>
    <n v="5"/>
    <x v="0"/>
  </r>
  <r>
    <x v="249"/>
    <x v="249"/>
    <n v="45"/>
    <n v="5"/>
    <x v="0"/>
  </r>
  <r>
    <x v="250"/>
    <x v="250"/>
    <n v="35"/>
    <n v="5"/>
    <x v="0"/>
  </r>
  <r>
    <x v="251"/>
    <x v="251"/>
    <n v="45"/>
    <n v="5"/>
    <x v="0"/>
  </r>
  <r>
    <x v="252"/>
    <x v="252"/>
    <n v="35"/>
    <n v="5"/>
    <x v="0"/>
  </r>
  <r>
    <x v="253"/>
    <x v="253"/>
    <n v="35"/>
    <n v="5"/>
    <x v="0"/>
  </r>
  <r>
    <x v="254"/>
    <x v="254"/>
    <n v="45"/>
    <n v="5"/>
    <x v="0"/>
  </r>
  <r>
    <x v="255"/>
    <x v="255"/>
    <n v="45"/>
    <n v="5"/>
    <x v="0"/>
  </r>
  <r>
    <x v="256"/>
    <x v="256"/>
    <n v="45"/>
    <n v="5"/>
    <x v="0"/>
  </r>
  <r>
    <x v="257"/>
    <x v="257"/>
    <n v="45"/>
    <n v="5"/>
    <x v="0"/>
  </r>
  <r>
    <x v="258"/>
    <x v="258"/>
    <n v="45"/>
    <n v="5"/>
    <x v="0"/>
  </r>
  <r>
    <x v="259"/>
    <x v="259"/>
    <n v="15"/>
    <n v="5"/>
    <x v="0"/>
  </r>
  <r>
    <x v="260"/>
    <x v="260"/>
    <n v="15"/>
    <n v="5"/>
    <x v="0"/>
  </r>
  <r>
    <x v="261"/>
    <x v="261"/>
    <n v="0"/>
    <n v="5"/>
    <x v="1"/>
  </r>
  <r>
    <x v="262"/>
    <x v="262"/>
    <n v="30"/>
    <n v="5"/>
    <x v="0"/>
  </r>
  <r>
    <x v="263"/>
    <x v="263"/>
    <n v="30"/>
    <n v="5"/>
    <x v="0"/>
  </r>
  <r>
    <x v="264"/>
    <x v="264"/>
    <n v="35"/>
    <n v="5"/>
    <x v="0"/>
  </r>
  <r>
    <x v="265"/>
    <x v="265"/>
    <n v="45"/>
    <n v="5"/>
    <x v="0"/>
  </r>
  <r>
    <x v="266"/>
    <x v="266"/>
    <n v="45"/>
    <n v="5"/>
    <x v="0"/>
  </r>
  <r>
    <x v="267"/>
    <x v="267"/>
    <n v="45"/>
    <n v="5"/>
    <x v="0"/>
  </r>
  <r>
    <x v="268"/>
    <x v="268"/>
    <n v="45"/>
    <n v="5"/>
    <x v="0"/>
  </r>
  <r>
    <x v="269"/>
    <x v="269"/>
    <n v="45"/>
    <n v="5"/>
    <x v="0"/>
  </r>
  <r>
    <x v="270"/>
    <x v="270"/>
    <n v="15"/>
    <n v="5"/>
    <x v="0"/>
  </r>
  <r>
    <x v="271"/>
    <x v="271"/>
    <n v="0"/>
    <n v="5"/>
    <x v="1"/>
  </r>
  <r>
    <x v="272"/>
    <x v="272"/>
    <n v="0"/>
    <n v="5"/>
    <x v="1"/>
  </r>
  <r>
    <x v="273"/>
    <x v="273"/>
    <n v="0"/>
    <n v="5"/>
    <x v="1"/>
  </r>
  <r>
    <x v="274"/>
    <x v="274"/>
    <n v="20"/>
    <n v="5"/>
    <x v="0"/>
  </r>
  <r>
    <x v="275"/>
    <x v="275"/>
    <n v="35"/>
    <n v="5"/>
    <x v="0"/>
  </r>
  <r>
    <x v="276"/>
    <x v="276"/>
    <n v="45"/>
    <n v="5"/>
    <x v="0"/>
  </r>
  <r>
    <x v="277"/>
    <x v="277"/>
    <n v="45"/>
    <n v="5"/>
    <x v="0"/>
  </r>
  <r>
    <x v="278"/>
    <x v="278"/>
    <n v="45"/>
    <n v="4"/>
    <x v="0"/>
  </r>
  <r>
    <x v="279"/>
    <x v="279"/>
    <n v="35"/>
    <n v="4"/>
    <x v="0"/>
  </r>
  <r>
    <x v="280"/>
    <x v="280"/>
    <n v="45"/>
    <n v="4"/>
    <x v="0"/>
  </r>
  <r>
    <x v="281"/>
    <x v="281"/>
    <n v="45"/>
    <n v="4"/>
    <x v="0"/>
  </r>
  <r>
    <x v="282"/>
    <x v="282"/>
    <n v="45"/>
    <n v="4"/>
    <x v="0"/>
  </r>
  <r>
    <x v="283"/>
    <x v="283"/>
    <n v="45"/>
    <n v="4"/>
    <x v="0"/>
  </r>
  <r>
    <x v="284"/>
    <x v="284"/>
    <n v="40"/>
    <n v="4"/>
    <x v="0"/>
  </r>
  <r>
    <x v="285"/>
    <x v="285"/>
    <n v="40"/>
    <n v="4"/>
    <x v="0"/>
  </r>
  <r>
    <x v="286"/>
    <x v="286"/>
    <n v="15"/>
    <n v="4"/>
    <x v="0"/>
  </r>
  <r>
    <x v="287"/>
    <x v="287"/>
    <n v="0"/>
    <n v="4"/>
    <x v="1"/>
  </r>
  <r>
    <x v="288"/>
    <x v="288"/>
    <n v="0"/>
    <n v="3"/>
    <x v="1"/>
  </r>
  <r>
    <x v="289"/>
    <x v="289"/>
    <n v="0"/>
    <n v="3"/>
    <x v="1"/>
  </r>
  <r>
    <x v="290"/>
    <x v="290"/>
    <n v="30"/>
    <n v="3"/>
    <x v="0"/>
  </r>
  <r>
    <x v="291"/>
    <x v="291"/>
    <n v="40"/>
    <n v="3"/>
    <x v="0"/>
  </r>
  <r>
    <x v="292"/>
    <x v="292"/>
    <n v="40"/>
    <n v="3"/>
    <x v="0"/>
  </r>
  <r>
    <x v="293"/>
    <x v="293"/>
    <n v="40"/>
    <n v="3"/>
    <x v="0"/>
  </r>
  <r>
    <x v="294"/>
    <x v="294"/>
    <n v="40"/>
    <n v="3"/>
    <x v="0"/>
  </r>
  <r>
    <x v="295"/>
    <x v="295"/>
    <n v="30"/>
    <n v="3"/>
    <x v="0"/>
  </r>
  <r>
    <x v="296"/>
    <x v="296"/>
    <n v="40"/>
    <n v="3"/>
    <x v="0"/>
  </r>
  <r>
    <x v="297"/>
    <x v="297"/>
    <n v="40"/>
    <n v="3"/>
    <x v="0"/>
  </r>
  <r>
    <x v="298"/>
    <x v="298"/>
    <n v="40"/>
    <n v="3"/>
    <x v="0"/>
  </r>
  <r>
    <x v="299"/>
    <x v="299"/>
    <n v="40"/>
    <n v="3"/>
    <x v="0"/>
  </r>
  <r>
    <x v="300"/>
    <x v="300"/>
    <n v="40"/>
    <n v="3"/>
    <x v="0"/>
  </r>
  <r>
    <x v="301"/>
    <x v="301"/>
    <n v="40"/>
    <n v="3"/>
    <x v="0"/>
  </r>
  <r>
    <x v="302"/>
    <x v="302"/>
    <n v="40"/>
    <n v="3"/>
    <x v="0"/>
  </r>
  <r>
    <x v="303"/>
    <x v="303"/>
    <n v="40"/>
    <n v="3"/>
    <x v="0"/>
  </r>
  <r>
    <x v="304"/>
    <x v="304"/>
    <n v="40"/>
    <n v="3"/>
    <x v="0"/>
  </r>
  <r>
    <x v="305"/>
    <x v="305"/>
    <n v="15"/>
    <n v="3"/>
    <x v="0"/>
  </r>
  <r>
    <x v="306"/>
    <x v="306"/>
    <n v="0"/>
    <n v="3"/>
    <x v="1"/>
  </r>
  <r>
    <x v="307"/>
    <x v="307"/>
    <n v="0"/>
    <n v="3"/>
    <x v="1"/>
  </r>
  <r>
    <x v="308"/>
    <x v="308"/>
    <n v="0"/>
    <n v="3"/>
    <x v="1"/>
  </r>
  <r>
    <x v="309"/>
    <x v="309"/>
    <n v="15"/>
    <n v="3"/>
    <x v="0"/>
  </r>
  <r>
    <x v="310"/>
    <x v="310"/>
    <n v="30"/>
    <n v="3"/>
    <x v="0"/>
  </r>
  <r>
    <x v="311"/>
    <x v="311"/>
    <n v="30"/>
    <n v="3"/>
    <x v="0"/>
  </r>
  <r>
    <x v="312"/>
    <x v="312"/>
    <n v="30"/>
    <n v="3"/>
    <x v="0"/>
  </r>
  <r>
    <x v="313"/>
    <x v="313"/>
    <n v="30"/>
    <n v="3"/>
    <x v="0"/>
  </r>
  <r>
    <x v="314"/>
    <x v="314"/>
    <n v="15"/>
    <n v="2"/>
    <x v="0"/>
  </r>
  <r>
    <x v="315"/>
    <x v="315"/>
    <n v="15"/>
    <n v="2"/>
    <x v="0"/>
  </r>
  <r>
    <x v="316"/>
    <x v="316"/>
    <n v="15"/>
    <n v="2"/>
    <x v="0"/>
  </r>
  <r>
    <x v="317"/>
    <x v="317"/>
    <n v="15"/>
    <n v="2"/>
    <x v="0"/>
  </r>
  <r>
    <x v="318"/>
    <x v="318"/>
    <n v="15"/>
    <n v="1"/>
    <x v="0"/>
  </r>
  <r>
    <x v="319"/>
    <x v="319"/>
    <n v="15"/>
    <n v="1"/>
    <x v="0"/>
  </r>
  <r>
    <x v="320"/>
    <x v="320"/>
    <n v="15"/>
    <n v="1"/>
    <x v="0"/>
  </r>
  <r>
    <x v="321"/>
    <x v="321"/>
    <n v="0"/>
    <n v="1"/>
    <x v="1"/>
  </r>
  <r>
    <x v="322"/>
    <x v="322"/>
    <n v="0"/>
    <n v="1"/>
    <x v="1"/>
  </r>
  <r>
    <x v="323"/>
    <x v="323"/>
    <n v="0"/>
    <n v="1"/>
    <x v="1"/>
  </r>
  <r>
    <x v="324"/>
    <x v="324"/>
    <n v="0"/>
    <n v="1"/>
    <x v="1"/>
  </r>
  <r>
    <x v="325"/>
    <x v="325"/>
    <n v="0"/>
    <n v="1"/>
    <x v="1"/>
  </r>
  <r>
    <x v="326"/>
    <x v="326"/>
    <n v="0"/>
    <n v="1"/>
    <x v="1"/>
  </r>
  <r>
    <x v="327"/>
    <x v="327"/>
    <n v="0"/>
    <n v="1"/>
    <x v="1"/>
  </r>
  <r>
    <x v="328"/>
    <x v="328"/>
    <n v="0"/>
    <n v="1"/>
    <x v="1"/>
  </r>
  <r>
    <x v="329"/>
    <x v="329"/>
    <n v="15"/>
    <n v="1"/>
    <x v="0"/>
  </r>
  <r>
    <x v="330"/>
    <x v="330"/>
    <n v="15"/>
    <n v="1"/>
    <x v="0"/>
  </r>
  <r>
    <x v="331"/>
    <x v="331"/>
    <n v="15"/>
    <n v="1"/>
    <x v="0"/>
  </r>
  <r>
    <x v="332"/>
    <x v="332"/>
    <n v="15"/>
    <n v="1"/>
    <x v="0"/>
  </r>
  <r>
    <x v="333"/>
    <x v="333"/>
    <n v="15"/>
    <n v="1"/>
    <x v="0"/>
  </r>
  <r>
    <x v="334"/>
    <x v="334"/>
    <n v="15"/>
    <n v="1"/>
    <x v="0"/>
  </r>
  <r>
    <x v="335"/>
    <x v="335"/>
    <n v="15"/>
    <n v="1"/>
    <x v="0"/>
  </r>
  <r>
    <x v="336"/>
    <x v="336"/>
    <n v="15"/>
    <n v="1"/>
    <x v="0"/>
  </r>
  <r>
    <x v="337"/>
    <x v="337"/>
    <n v="15"/>
    <n v="1"/>
    <x v="0"/>
  </r>
  <r>
    <x v="338"/>
    <x v="338"/>
    <n v="15"/>
    <n v="1"/>
    <x v="0"/>
  </r>
  <r>
    <x v="339"/>
    <x v="339"/>
    <n v="15"/>
    <n v="1"/>
    <x v="0"/>
  </r>
  <r>
    <x v="340"/>
    <x v="340"/>
    <n v="15"/>
    <n v="1"/>
    <x v="0"/>
  </r>
  <r>
    <x v="341"/>
    <x v="341"/>
    <n v="15"/>
    <n v="1"/>
    <x v="0"/>
  </r>
  <r>
    <x v="342"/>
    <x v="342"/>
    <n v="15"/>
    <n v="1"/>
    <x v="0"/>
  </r>
  <r>
    <x v="343"/>
    <x v="343"/>
    <n v="15"/>
    <n v="1"/>
    <x v="0"/>
  </r>
  <r>
    <x v="344"/>
    <x v="344"/>
    <n v="15"/>
    <n v="1"/>
    <x v="0"/>
  </r>
  <r>
    <x v="345"/>
    <x v="345"/>
    <n v="15"/>
    <n v="1"/>
    <x v="0"/>
  </r>
  <r>
    <x v="346"/>
    <x v="346"/>
    <n v="0"/>
    <n v="1"/>
    <x v="1"/>
  </r>
  <r>
    <x v="347"/>
    <x v="347"/>
    <n v="0"/>
    <n v="1"/>
    <x v="1"/>
  </r>
  <r>
    <x v="348"/>
    <x v="348"/>
    <n v="0"/>
    <n v="1"/>
    <x v="1"/>
  </r>
  <r>
    <x v="349"/>
    <x v="349"/>
    <n v="0"/>
    <n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26">
  <r>
    <s v="1"/>
    <x v="0"/>
    <x v="0"/>
    <x v="0"/>
    <m/>
  </r>
  <r>
    <s v="1"/>
    <x v="0"/>
    <x v="1"/>
    <x v="1"/>
    <m/>
  </r>
  <r>
    <s v="1"/>
    <x v="0"/>
    <x v="2"/>
    <x v="2"/>
    <m/>
  </r>
  <r>
    <s v="1"/>
    <x v="0"/>
    <x v="3"/>
    <x v="3"/>
    <m/>
  </r>
  <r>
    <s v="1"/>
    <x v="0"/>
    <x v="4"/>
    <x v="4"/>
    <n v="2.61"/>
  </r>
  <r>
    <s v="1"/>
    <x v="0"/>
    <x v="5"/>
    <x v="5"/>
    <n v="4.58"/>
  </r>
  <r>
    <s v="1"/>
    <x v="0"/>
    <x v="6"/>
    <x v="6"/>
    <n v="5.4"/>
  </r>
  <r>
    <s v="1"/>
    <x v="0"/>
    <x v="7"/>
    <x v="7"/>
    <n v="3.89"/>
  </r>
  <r>
    <s v="1"/>
    <x v="0"/>
    <x v="8"/>
    <x v="8"/>
    <n v="0.94"/>
  </r>
  <r>
    <s v="1"/>
    <x v="0"/>
    <x v="9"/>
    <x v="9"/>
    <n v="-1.03"/>
  </r>
  <r>
    <s v="1"/>
    <x v="0"/>
    <x v="10"/>
    <x v="10"/>
    <n v="-0.57999999999999996"/>
  </r>
  <r>
    <s v="1"/>
    <x v="0"/>
    <x v="11"/>
    <x v="11"/>
    <n v="-1.53"/>
  </r>
  <r>
    <s v="1"/>
    <x v="0"/>
    <x v="12"/>
    <x v="12"/>
    <n v="3.77"/>
  </r>
  <r>
    <s v="1"/>
    <x v="0"/>
    <x v="13"/>
    <x v="13"/>
    <n v="7.3"/>
  </r>
  <r>
    <s v="1"/>
    <x v="0"/>
    <x v="14"/>
    <x v="14"/>
    <n v="10.31"/>
  </r>
  <r>
    <s v="1"/>
    <x v="0"/>
    <x v="15"/>
    <x v="15"/>
    <n v="13.37"/>
  </r>
  <r>
    <s v="1"/>
    <x v="0"/>
    <x v="16"/>
    <x v="16"/>
    <n v="10.56"/>
  </r>
  <r>
    <s v="1"/>
    <x v="0"/>
    <x v="17"/>
    <x v="17"/>
    <n v="9.15"/>
  </r>
  <r>
    <s v="1"/>
    <x v="0"/>
    <x v="18"/>
    <x v="18"/>
    <n v="7.25"/>
  </r>
  <r>
    <s v="1"/>
    <x v="0"/>
    <x v="19"/>
    <x v="19"/>
    <n v="5.47"/>
  </r>
  <r>
    <s v="1"/>
    <x v="0"/>
    <x v="20"/>
    <x v="20"/>
    <n v="5.17"/>
  </r>
  <r>
    <s v="1"/>
    <x v="0"/>
    <x v="21"/>
    <x v="21"/>
    <n v="3.6"/>
  </r>
  <r>
    <s v="1"/>
    <x v="0"/>
    <x v="22"/>
    <x v="22"/>
    <n v="2.2400000000000002"/>
  </r>
  <r>
    <s v="1"/>
    <x v="0"/>
    <x v="23"/>
    <x v="23"/>
    <n v="5.36"/>
  </r>
  <r>
    <s v="1"/>
    <x v="0"/>
    <x v="24"/>
    <x v="24"/>
    <n v="6.19"/>
  </r>
  <r>
    <s v="1"/>
    <x v="0"/>
    <x v="25"/>
    <x v="25"/>
    <n v="6.78"/>
  </r>
  <r>
    <s v="1"/>
    <x v="0"/>
    <x v="26"/>
    <x v="26"/>
    <n v="5.42"/>
  </r>
  <r>
    <s v="1"/>
    <x v="0"/>
    <x v="27"/>
    <x v="27"/>
    <n v="0.52"/>
  </r>
  <r>
    <s v="1"/>
    <x v="0"/>
    <x v="28"/>
    <x v="28"/>
    <n v="-1.78"/>
  </r>
  <r>
    <s v="1"/>
    <x v="0"/>
    <x v="29"/>
    <x v="29"/>
    <n v="-2.4300000000000002"/>
  </r>
  <r>
    <s v="1"/>
    <x v="0"/>
    <x v="30"/>
    <x v="30"/>
    <n v="-0.77"/>
  </r>
  <r>
    <s v="1"/>
    <x v="0"/>
    <x v="31"/>
    <x v="31"/>
    <n v="2.73"/>
  </r>
  <r>
    <s v="1"/>
    <x v="0"/>
    <x v="32"/>
    <x v="32"/>
    <n v="6.17"/>
  </r>
  <r>
    <s v="1"/>
    <x v="0"/>
    <x v="33"/>
    <x v="33"/>
    <n v="7.78"/>
  </r>
  <r>
    <s v="1"/>
    <x v="0"/>
    <x v="34"/>
    <x v="34"/>
    <n v="8.02"/>
  </r>
  <r>
    <s v="1"/>
    <x v="0"/>
    <x v="35"/>
    <x v="35"/>
    <n v="6.58"/>
  </r>
  <r>
    <s v="1"/>
    <x v="0"/>
    <x v="36"/>
    <x v="36"/>
    <n v="3.22"/>
  </r>
  <r>
    <s v="1"/>
    <x v="0"/>
    <x v="37"/>
    <x v="37"/>
    <n v="2.4"/>
  </r>
  <r>
    <s v="1"/>
    <x v="0"/>
    <x v="38"/>
    <x v="38"/>
    <n v="0.95"/>
  </r>
  <r>
    <s v="1"/>
    <x v="0"/>
    <x v="39"/>
    <x v="39"/>
    <n v="2"/>
  </r>
  <r>
    <s v="1"/>
    <x v="0"/>
    <x v="40"/>
    <x v="40"/>
    <n v="3.05"/>
  </r>
  <r>
    <s v="1"/>
    <x v="0"/>
    <x v="41"/>
    <x v="41"/>
    <n v="1.98"/>
  </r>
  <r>
    <s v="1"/>
    <x v="0"/>
    <x v="42"/>
    <x v="42"/>
    <n v="3.07"/>
  </r>
  <r>
    <s v="1"/>
    <x v="0"/>
    <x v="43"/>
    <x v="43"/>
    <n v="0.35"/>
  </r>
  <r>
    <s v="1"/>
    <x v="0"/>
    <x v="44"/>
    <x v="44"/>
    <n v="-2.87"/>
  </r>
  <r>
    <s v="1"/>
    <x v="0"/>
    <x v="45"/>
    <x v="45"/>
    <n v="-2.02"/>
  </r>
  <r>
    <s v="1"/>
    <x v="0"/>
    <x v="46"/>
    <x v="46"/>
    <n v="-0.73"/>
  </r>
  <r>
    <s v="1"/>
    <x v="0"/>
    <x v="47"/>
    <x v="47"/>
    <n v="2.66"/>
  </r>
  <r>
    <s v="1"/>
    <x v="0"/>
    <x v="48"/>
    <x v="48"/>
    <n v="7.42"/>
  </r>
  <r>
    <s v="1"/>
    <x v="0"/>
    <x v="49"/>
    <x v="49"/>
    <n v="9.1199999999999992"/>
  </r>
  <r>
    <s v="1"/>
    <x v="0"/>
    <x v="50"/>
    <x v="50"/>
    <n v="6.73"/>
  </r>
  <r>
    <s v="1"/>
    <x v="0"/>
    <x v="51"/>
    <x v="51"/>
    <n v="4.58"/>
  </r>
  <r>
    <s v="1"/>
    <x v="0"/>
    <x v="52"/>
    <x v="52"/>
    <n v="4.92"/>
  </r>
  <r>
    <s v="1"/>
    <x v="0"/>
    <x v="53"/>
    <x v="53"/>
    <n v="2.06"/>
  </r>
  <r>
    <s v="1"/>
    <x v="0"/>
    <x v="54"/>
    <x v="54"/>
    <n v="2.4900000000000002"/>
  </r>
  <r>
    <s v="1"/>
    <x v="0"/>
    <x v="55"/>
    <x v="55"/>
    <n v="0.89"/>
  </r>
  <r>
    <s v="1"/>
    <x v="0"/>
    <x v="56"/>
    <x v="56"/>
    <n v="-0.67"/>
  </r>
  <r>
    <s v="1"/>
    <x v="0"/>
    <x v="57"/>
    <x v="57"/>
    <n v="1.57"/>
  </r>
  <r>
    <s v="1"/>
    <x v="0"/>
    <x v="58"/>
    <x v="58"/>
    <n v="3.01"/>
  </r>
  <r>
    <s v="1"/>
    <x v="0"/>
    <x v="59"/>
    <x v="59"/>
    <n v="6.4"/>
  </r>
  <r>
    <s v="1"/>
    <x v="0"/>
    <x v="60"/>
    <x v="60"/>
    <n v="7.57"/>
  </r>
  <r>
    <s v="1"/>
    <x v="0"/>
    <x v="61"/>
    <x v="61"/>
    <n v="6.73"/>
  </r>
  <r>
    <s v="1"/>
    <x v="0"/>
    <x v="62"/>
    <x v="62"/>
    <n v="6.01"/>
  </r>
  <r>
    <s v="1"/>
    <x v="0"/>
    <x v="63"/>
    <x v="63"/>
    <n v="4.3099999999999996"/>
  </r>
  <r>
    <s v="1"/>
    <x v="0"/>
    <x v="64"/>
    <x v="64"/>
    <n v="3.6"/>
  </r>
  <r>
    <s v="1"/>
    <x v="0"/>
    <x v="65"/>
    <x v="65"/>
    <n v="3.82"/>
  </r>
  <r>
    <s v="1"/>
    <x v="0"/>
    <x v="66"/>
    <x v="66"/>
    <n v="4.82"/>
  </r>
  <r>
    <s v="1"/>
    <x v="0"/>
    <x v="67"/>
    <x v="67"/>
    <n v="5.16"/>
  </r>
  <r>
    <s v="1"/>
    <x v="0"/>
    <x v="68"/>
    <x v="68"/>
    <n v="6.22"/>
  </r>
  <r>
    <s v="1"/>
    <x v="0"/>
    <x v="69"/>
    <x v="69"/>
    <n v="6.18"/>
  </r>
  <r>
    <s v="1"/>
    <x v="0"/>
    <x v="70"/>
    <x v="70"/>
    <n v="5.52"/>
  </r>
  <r>
    <s v="1"/>
    <x v="0"/>
    <x v="71"/>
    <x v="71"/>
    <n v="5.16"/>
  </r>
  <r>
    <s v="1"/>
    <x v="0"/>
    <x v="72"/>
    <x v="72"/>
    <n v="5.48"/>
  </r>
  <r>
    <s v="1"/>
    <x v="0"/>
    <x v="73"/>
    <x v="73"/>
    <n v="5.66"/>
  </r>
  <r>
    <s v="1"/>
    <x v="0"/>
    <x v="74"/>
    <x v="74"/>
    <n v="6.35"/>
  </r>
  <r>
    <s v="1"/>
    <x v="0"/>
    <x v="75"/>
    <x v="75"/>
    <n v="8.4600000000000009"/>
  </r>
  <r>
    <s v="1"/>
    <x v="0"/>
    <x v="76"/>
    <x v="76"/>
    <n v="8.48"/>
  </r>
  <r>
    <s v="1"/>
    <x v="0"/>
    <x v="77"/>
    <x v="77"/>
    <n v="7.49"/>
  </r>
  <r>
    <s v="1"/>
    <x v="0"/>
    <x v="78"/>
    <x v="78"/>
    <n v="6.04"/>
  </r>
  <r>
    <s v="1"/>
    <x v="0"/>
    <x v="79"/>
    <x v="79"/>
    <n v="4.5"/>
  </r>
  <r>
    <s v="1"/>
    <x v="0"/>
    <x v="80"/>
    <x v="80"/>
    <n v="2.93"/>
  </r>
  <r>
    <s v="1"/>
    <x v="0"/>
    <x v="81"/>
    <x v="81"/>
    <n v="2.64"/>
  </r>
  <r>
    <s v="1"/>
    <x v="0"/>
    <x v="82"/>
    <x v="82"/>
    <n v="2.74"/>
  </r>
  <r>
    <s v="1"/>
    <x v="0"/>
    <x v="83"/>
    <x v="83"/>
    <n v="2.67"/>
  </r>
  <r>
    <s v="1"/>
    <x v="0"/>
    <x v="84"/>
    <x v="84"/>
    <n v="3.84"/>
  </r>
  <r>
    <s v="1"/>
    <x v="0"/>
    <x v="85"/>
    <x v="85"/>
    <n v="5.51"/>
  </r>
  <r>
    <s v="1"/>
    <x v="0"/>
    <x v="86"/>
    <x v="86"/>
    <n v="5.34"/>
  </r>
  <r>
    <s v="1"/>
    <x v="0"/>
    <x v="87"/>
    <x v="87"/>
    <n v="4.96"/>
  </r>
  <r>
    <s v="1"/>
    <x v="0"/>
    <x v="88"/>
    <x v="88"/>
    <n v="4.47"/>
  </r>
  <r>
    <s v="1"/>
    <x v="0"/>
    <x v="89"/>
    <x v="89"/>
    <n v="3.06"/>
  </r>
  <r>
    <s v="1"/>
    <x v="0"/>
    <x v="90"/>
    <x v="90"/>
    <n v="2.95"/>
  </r>
  <r>
    <s v="1"/>
    <x v="0"/>
    <x v="91"/>
    <x v="91"/>
    <n v="2.04"/>
  </r>
  <r>
    <s v="1"/>
    <x v="0"/>
    <x v="92"/>
    <x v="92"/>
    <n v="0.32"/>
  </r>
  <r>
    <s v="1"/>
    <x v="0"/>
    <x v="93"/>
    <x v="93"/>
    <n v="0.16"/>
  </r>
  <r>
    <s v="1"/>
    <x v="0"/>
    <x v="94"/>
    <x v="94"/>
    <n v="0.42"/>
  </r>
  <r>
    <s v="1"/>
    <x v="0"/>
    <x v="95"/>
    <x v="95"/>
    <n v="-0.17"/>
  </r>
  <r>
    <s v="1"/>
    <x v="0"/>
    <x v="96"/>
    <x v="96"/>
    <n v="2.7"/>
  </r>
  <r>
    <s v="1"/>
    <x v="0"/>
    <x v="97"/>
    <x v="97"/>
    <n v="3.11"/>
  </r>
  <r>
    <s v="1"/>
    <x v="0"/>
    <x v="98"/>
    <x v="98"/>
    <n v="3.01"/>
  </r>
  <r>
    <s v="1"/>
    <x v="0"/>
    <x v="99"/>
    <x v="99"/>
    <n v="4.37"/>
  </r>
  <r>
    <s v="1"/>
    <x v="0"/>
    <x v="100"/>
    <x v="100"/>
    <n v="3.47"/>
  </r>
  <r>
    <s v="1"/>
    <x v="0"/>
    <x v="101"/>
    <x v="101"/>
    <n v="5.25"/>
  </r>
  <r>
    <s v="1"/>
    <x v="0"/>
    <x v="102"/>
    <x v="102"/>
    <n v="5.38"/>
  </r>
  <r>
    <s v="1"/>
    <x v="0"/>
    <x v="103"/>
    <x v="103"/>
    <n v="6.89"/>
  </r>
  <r>
    <s v="1"/>
    <x v="0"/>
    <x v="104"/>
    <x v="104"/>
    <n v="7.56"/>
  </r>
  <r>
    <s v="1"/>
    <x v="0"/>
    <x v="105"/>
    <x v="105"/>
    <n v="6.32"/>
  </r>
  <r>
    <s v="1"/>
    <x v="0"/>
    <x v="106"/>
    <x v="106"/>
    <n v="4.7699999999999996"/>
  </r>
  <r>
    <s v="1"/>
    <x v="0"/>
    <x v="107"/>
    <x v="107"/>
    <n v="4.0199999999999996"/>
  </r>
  <r>
    <s v="1"/>
    <x v="0"/>
    <x v="108"/>
    <x v="108"/>
    <n v="0.64"/>
  </r>
  <r>
    <s v="1"/>
    <x v="0"/>
    <x v="109"/>
    <x v="109"/>
    <n v="-0.21"/>
  </r>
  <r>
    <s v="1"/>
    <x v="0"/>
    <x v="110"/>
    <x v="110"/>
    <n v="-0.63"/>
  </r>
  <r>
    <s v="1"/>
    <x v="0"/>
    <x v="111"/>
    <x v="111"/>
    <n v="-1.95"/>
  </r>
  <r>
    <s v="1"/>
    <x v="0"/>
    <x v="112"/>
    <x v="112"/>
    <n v="-2.2999999999999998"/>
  </r>
  <r>
    <s v="1"/>
    <x v="0"/>
    <x v="113"/>
    <x v="113"/>
    <n v="-1.83"/>
  </r>
  <r>
    <s v="1"/>
    <x v="0"/>
    <x v="114"/>
    <x v="114"/>
    <n v="0.8"/>
  </r>
  <r>
    <s v="1"/>
    <x v="0"/>
    <x v="115"/>
    <x v="115"/>
    <n v="2.5499999999999998"/>
  </r>
  <r>
    <s v="1"/>
    <x v="0"/>
    <x v="116"/>
    <x v="116"/>
    <n v="6.15"/>
  </r>
  <r>
    <s v="1"/>
    <x v="0"/>
    <x v="117"/>
    <x v="117"/>
    <n v="6.17"/>
  </r>
  <r>
    <s v="1"/>
    <x v="0"/>
    <x v="118"/>
    <x v="118"/>
    <n v="4.96"/>
  </r>
  <r>
    <s v="1"/>
    <x v="0"/>
    <x v="119"/>
    <x v="119"/>
    <n v="4.3099999999999996"/>
  </r>
  <r>
    <s v="1"/>
    <x v="0"/>
    <x v="120"/>
    <x v="120"/>
    <n v="3.23"/>
  </r>
  <r>
    <s v="1"/>
    <x v="0"/>
    <x v="121"/>
    <x v="121"/>
    <n v="4.47"/>
  </r>
  <r>
    <s v="1"/>
    <x v="0"/>
    <x v="122"/>
    <x v="122"/>
    <n v="5.77"/>
  </r>
  <r>
    <s v="1"/>
    <x v="0"/>
    <x v="123"/>
    <x v="123"/>
    <n v="5.01"/>
  </r>
  <r>
    <s v="1"/>
    <x v="0"/>
    <x v="124"/>
    <x v="124"/>
    <n v="4.1100000000000003"/>
  </r>
  <r>
    <s v="1"/>
    <x v="0"/>
    <x v="125"/>
    <x v="125"/>
    <n v="6.08"/>
  </r>
  <r>
    <s v="1"/>
    <x v="0"/>
    <x v="126"/>
    <x v="126"/>
    <n v="5.25"/>
  </r>
  <r>
    <s v="1"/>
    <x v="0"/>
    <x v="127"/>
    <x v="127"/>
    <n v="6.66"/>
  </r>
  <r>
    <s v="1"/>
    <x v="0"/>
    <x v="128"/>
    <x v="128"/>
    <n v="6.51"/>
  </r>
  <r>
    <s v="1"/>
    <x v="0"/>
    <x v="129"/>
    <x v="129"/>
    <n v="2.66"/>
  </r>
  <r>
    <s v="1"/>
    <x v="0"/>
    <x v="130"/>
    <x v="130"/>
    <n v="2.39"/>
  </r>
  <r>
    <s v="1"/>
    <x v="0"/>
    <x v="131"/>
    <x v="131"/>
    <n v="1.28"/>
  </r>
  <r>
    <s v="1"/>
    <x v="0"/>
    <x v="132"/>
    <x v="132"/>
    <n v="1.42"/>
  </r>
  <r>
    <s v="1"/>
    <x v="0"/>
    <x v="133"/>
    <x v="133"/>
    <n v="-0.78"/>
  </r>
  <r>
    <s v="1"/>
    <x v="0"/>
    <x v="134"/>
    <x v="134"/>
    <n v="-1.62"/>
  </r>
  <r>
    <s v="1"/>
    <x v="0"/>
    <x v="135"/>
    <x v="135"/>
    <n v="-0.04"/>
  </r>
  <r>
    <s v="1"/>
    <x v="0"/>
    <x v="136"/>
    <x v="136"/>
    <n v="1.6"/>
  </r>
  <r>
    <s v="1"/>
    <x v="0"/>
    <x v="137"/>
    <x v="137"/>
    <n v="2.97"/>
  </r>
  <r>
    <s v="1"/>
    <x v="0"/>
    <x v="138"/>
    <x v="138"/>
    <n v="4.33"/>
  </r>
  <r>
    <s v="1"/>
    <x v="0"/>
    <x v="139"/>
    <x v="139"/>
    <n v="1.3"/>
  </r>
  <r>
    <s v="1"/>
    <x v="0"/>
    <x v="140"/>
    <x v="140"/>
    <n v="-2.19"/>
  </r>
  <r>
    <s v="1"/>
    <x v="0"/>
    <x v="141"/>
    <x v="141"/>
    <n v="-1.01"/>
  </r>
  <r>
    <s v="1"/>
    <x v="0"/>
    <x v="142"/>
    <x v="142"/>
    <n v="-2.56"/>
  </r>
  <r>
    <s v="1"/>
    <x v="0"/>
    <x v="143"/>
    <x v="143"/>
    <n v="-1.44"/>
  </r>
  <r>
    <s v="1"/>
    <x v="0"/>
    <x v="144"/>
    <x v="144"/>
    <n v="1.43"/>
  </r>
  <r>
    <s v="1"/>
    <x v="0"/>
    <x v="145"/>
    <x v="145"/>
    <n v="3.27"/>
  </r>
  <r>
    <s v="1"/>
    <x v="0"/>
    <x v="146"/>
    <x v="146"/>
    <n v="5.74"/>
  </r>
  <r>
    <s v="1"/>
    <x v="0"/>
    <x v="147"/>
    <x v="147"/>
    <n v="7.9"/>
  </r>
  <r>
    <s v="1"/>
    <x v="0"/>
    <x v="148"/>
    <x v="148"/>
    <n v="8.58"/>
  </r>
  <r>
    <s v="1"/>
    <x v="0"/>
    <x v="149"/>
    <x v="149"/>
    <n v="8"/>
  </r>
  <r>
    <s v="1"/>
    <x v="0"/>
    <x v="150"/>
    <x v="150"/>
    <n v="6.9"/>
  </r>
  <r>
    <s v="1"/>
    <x v="0"/>
    <x v="151"/>
    <x v="151"/>
    <n v="5.58"/>
  </r>
  <r>
    <s v="1"/>
    <x v="0"/>
    <x v="152"/>
    <x v="152"/>
    <n v="4.55"/>
  </r>
  <r>
    <s v="1"/>
    <x v="0"/>
    <x v="153"/>
    <x v="153"/>
    <n v="3.68"/>
  </r>
  <r>
    <s v="1"/>
    <x v="0"/>
    <x v="154"/>
    <x v="154"/>
    <n v="4.26"/>
  </r>
  <r>
    <s v="1"/>
    <x v="0"/>
    <x v="155"/>
    <x v="155"/>
    <n v="4.18"/>
  </r>
  <r>
    <s v="1"/>
    <x v="0"/>
    <x v="156"/>
    <x v="156"/>
    <n v="4.1500000000000004"/>
  </r>
  <r>
    <s v="1"/>
    <x v="0"/>
    <x v="157"/>
    <x v="157"/>
    <n v="3.7"/>
  </r>
  <r>
    <s v="1"/>
    <x v="0"/>
    <x v="158"/>
    <x v="158"/>
    <n v="3.12"/>
  </r>
  <r>
    <s v="1"/>
    <x v="0"/>
    <x v="159"/>
    <x v="159"/>
    <n v="2.91"/>
  </r>
  <r>
    <s v="1"/>
    <x v="0"/>
    <x v="160"/>
    <x v="160"/>
    <n v="2.71"/>
  </r>
  <r>
    <s v="1"/>
    <x v="0"/>
    <x v="161"/>
    <x v="161"/>
    <n v="3.35"/>
  </r>
  <r>
    <s v="1"/>
    <x v="0"/>
    <x v="162"/>
    <x v="162"/>
    <n v="3.26"/>
  </r>
  <r>
    <s v="1"/>
    <x v="0"/>
    <x v="163"/>
    <x v="163"/>
    <n v="4.47"/>
  </r>
  <r>
    <s v="1"/>
    <x v="0"/>
    <x v="164"/>
    <x v="164"/>
    <n v="4.24"/>
  </r>
  <r>
    <s v="1"/>
    <x v="0"/>
    <x v="165"/>
    <x v="165"/>
    <n v="4.4800000000000004"/>
  </r>
  <r>
    <s v="1"/>
    <x v="0"/>
    <x v="166"/>
    <x v="166"/>
    <n v="4.1900000000000004"/>
  </r>
  <r>
    <s v="1"/>
    <x v="0"/>
    <x v="167"/>
    <x v="167"/>
    <n v="3.8"/>
  </r>
  <r>
    <s v="1"/>
    <x v="0"/>
    <x v="168"/>
    <x v="168"/>
    <n v="4.32"/>
  </r>
  <r>
    <s v="1"/>
    <x v="0"/>
    <x v="169"/>
    <x v="169"/>
    <n v="3.75"/>
  </r>
  <r>
    <s v="1"/>
    <x v="0"/>
    <x v="170"/>
    <x v="170"/>
    <n v="3.91"/>
  </r>
  <r>
    <s v="1"/>
    <x v="0"/>
    <x v="171"/>
    <x v="171"/>
    <n v="2.74"/>
  </r>
  <r>
    <s v="1"/>
    <x v="0"/>
    <x v="172"/>
    <x v="172"/>
    <n v="2.82"/>
  </r>
  <r>
    <s v="1"/>
    <x v="0"/>
    <x v="173"/>
    <x v="173"/>
    <n v="2.41"/>
  </r>
  <r>
    <s v="1"/>
    <x v="0"/>
    <x v="174"/>
    <x v="174"/>
    <n v="1.73"/>
  </r>
  <r>
    <s v="1"/>
    <x v="0"/>
    <x v="175"/>
    <x v="175"/>
    <n v="0.6"/>
  </r>
  <r>
    <s v="1"/>
    <x v="0"/>
    <x v="176"/>
    <x v="176"/>
    <n v="-0.95"/>
  </r>
  <r>
    <s v="1"/>
    <x v="0"/>
    <x v="177"/>
    <x v="177"/>
    <n v="-0.54"/>
  </r>
  <r>
    <s v="1"/>
    <x v="0"/>
    <x v="178"/>
    <x v="178"/>
    <n v="-0.1"/>
  </r>
  <r>
    <s v="1"/>
    <x v="0"/>
    <x v="179"/>
    <x v="179"/>
    <n v="1.17"/>
  </r>
  <r>
    <s v="1"/>
    <x v="0"/>
    <x v="180"/>
    <x v="180"/>
    <n v="2.86"/>
  </r>
  <r>
    <s v="1"/>
    <x v="0"/>
    <x v="181"/>
    <x v="181"/>
    <n v="3.17"/>
  </r>
  <r>
    <s v="1"/>
    <x v="0"/>
    <x v="182"/>
    <x v="182"/>
    <n v="3.67"/>
  </r>
  <r>
    <s v="1"/>
    <x v="0"/>
    <x v="183"/>
    <x v="183"/>
    <n v="4.38"/>
  </r>
  <r>
    <s v="1"/>
    <x v="0"/>
    <x v="184"/>
    <x v="184"/>
    <n v="3.32"/>
  </r>
  <r>
    <s v="1"/>
    <x v="0"/>
    <x v="185"/>
    <x v="185"/>
    <n v="2.81"/>
  </r>
  <r>
    <s v="1"/>
    <x v="0"/>
    <x v="186"/>
    <x v="186"/>
    <n v="2.29"/>
  </r>
  <r>
    <s v="1"/>
    <x v="0"/>
    <x v="187"/>
    <x v="187"/>
    <n v="2.61"/>
  </r>
  <r>
    <s v="1"/>
    <x v="0"/>
    <x v="188"/>
    <x v="188"/>
    <n v="3.43"/>
  </r>
  <r>
    <s v="1"/>
    <x v="0"/>
    <x v="189"/>
    <x v="189"/>
    <n v="4.2300000000000004"/>
  </r>
  <r>
    <s v="1"/>
    <x v="0"/>
    <x v="190"/>
    <x v="190"/>
    <n v="4.34"/>
  </r>
  <r>
    <s v="1"/>
    <x v="0"/>
    <x v="191"/>
    <x v="191"/>
    <n v="4.12"/>
  </r>
  <r>
    <s v="1"/>
    <x v="0"/>
    <x v="192"/>
    <x v="192"/>
    <n v="3.48"/>
  </r>
  <r>
    <s v="1"/>
    <x v="0"/>
    <x v="193"/>
    <x v="193"/>
    <n v="2.4"/>
  </r>
  <r>
    <s v="1"/>
    <x v="0"/>
    <x v="194"/>
    <x v="194"/>
    <n v="2.67"/>
  </r>
  <r>
    <s v="1"/>
    <x v="0"/>
    <x v="195"/>
    <x v="195"/>
    <n v="2.2000000000000002"/>
  </r>
  <r>
    <s v="1"/>
    <x v="0"/>
    <x v="196"/>
    <x v="196"/>
    <n v="2.6"/>
  </r>
  <r>
    <s v="1"/>
    <x v="0"/>
    <x v="197"/>
    <x v="197"/>
    <n v="4"/>
  </r>
  <r>
    <s v="1"/>
    <x v="0"/>
    <x v="198"/>
    <x v="198"/>
    <n v="4.05"/>
  </r>
  <r>
    <s v="1"/>
    <x v="0"/>
    <x v="199"/>
    <x v="199"/>
    <n v="4.42"/>
  </r>
  <r>
    <s v="1"/>
    <x v="0"/>
    <x v="200"/>
    <x v="200"/>
    <n v="4.3099999999999996"/>
  </r>
  <r>
    <s v="1"/>
    <x v="0"/>
    <x v="201"/>
    <x v="201"/>
    <n v="4.3099999999999996"/>
  </r>
  <r>
    <s v="1"/>
    <x v="0"/>
    <x v="202"/>
    <x v="202"/>
    <n v="4.67"/>
  </r>
  <r>
    <s v="1"/>
    <x v="0"/>
    <x v="203"/>
    <x v="203"/>
    <n v="4.4800000000000004"/>
  </r>
  <r>
    <s v="1"/>
    <x v="0"/>
    <x v="204"/>
    <x v="204"/>
    <n v="4.8600000000000003"/>
  </r>
  <r>
    <s v="1"/>
    <x v="0"/>
    <x v="205"/>
    <x v="205"/>
    <n v="4.09"/>
  </r>
  <r>
    <s v="1"/>
    <x v="0"/>
    <x v="206"/>
    <x v="206"/>
    <n v="4.0999999999999996"/>
  </r>
  <r>
    <s v="1"/>
    <x v="0"/>
    <x v="207"/>
    <x v="207"/>
    <n v="4.88"/>
  </r>
  <r>
    <s v="1"/>
    <x v="0"/>
    <x v="208"/>
    <x v="208"/>
    <n v="4.82"/>
  </r>
  <r>
    <s v="1"/>
    <x v="0"/>
    <x v="209"/>
    <x v="209"/>
    <n v="4.72"/>
  </r>
  <r>
    <s v="1"/>
    <x v="0"/>
    <x v="210"/>
    <x v="210"/>
    <n v="4.79"/>
  </r>
  <r>
    <s v="1"/>
    <x v="0"/>
    <x v="211"/>
    <x v="211"/>
    <n v="4.82"/>
  </r>
  <r>
    <s v="1"/>
    <x v="0"/>
    <x v="212"/>
    <x v="212"/>
    <n v="4.22"/>
  </r>
  <r>
    <s v="1"/>
    <x v="0"/>
    <x v="213"/>
    <x v="213"/>
    <n v="5.24"/>
  </r>
  <r>
    <s v="1"/>
    <x v="0"/>
    <x v="214"/>
    <x v="214"/>
    <n v="3.97"/>
  </r>
  <r>
    <s v="1"/>
    <x v="0"/>
    <x v="215"/>
    <x v="215"/>
    <n v="2.91"/>
  </r>
  <r>
    <s v="1"/>
    <x v="0"/>
    <x v="216"/>
    <x v="216"/>
    <n v="2.2000000000000002"/>
  </r>
  <r>
    <s v="1"/>
    <x v="0"/>
    <x v="217"/>
    <x v="217"/>
    <n v="1"/>
  </r>
  <r>
    <s v="1"/>
    <x v="0"/>
    <x v="218"/>
    <x v="218"/>
    <n v="0.49"/>
  </r>
  <r>
    <s v="1"/>
    <x v="0"/>
    <x v="219"/>
    <x v="219"/>
    <n v="0.17"/>
  </r>
  <r>
    <s v="1"/>
    <x v="0"/>
    <x v="220"/>
    <x v="220"/>
    <n v="1.34"/>
  </r>
  <r>
    <s v="1"/>
    <x v="0"/>
    <x v="221"/>
    <x v="221"/>
    <n v="1.33"/>
  </r>
  <r>
    <s v="1"/>
    <x v="0"/>
    <x v="222"/>
    <x v="222"/>
    <n v="2.15"/>
  </r>
  <r>
    <s v="1"/>
    <x v="0"/>
    <x v="223"/>
    <x v="223"/>
    <n v="1.99"/>
  </r>
  <r>
    <s v="1"/>
    <x v="0"/>
    <x v="224"/>
    <x v="224"/>
    <n v="1.68"/>
  </r>
  <r>
    <s v="1"/>
    <x v="0"/>
    <x v="225"/>
    <x v="225"/>
    <n v="1.96"/>
  </r>
  <r>
    <s v="1"/>
    <x v="0"/>
    <x v="226"/>
    <x v="226"/>
    <n v="3.23"/>
  </r>
  <r>
    <s v="1"/>
    <x v="0"/>
    <x v="227"/>
    <x v="227"/>
    <n v="4.3"/>
  </r>
  <r>
    <s v="1"/>
    <x v="0"/>
    <x v="228"/>
    <x v="228"/>
    <n v="4.34"/>
  </r>
  <r>
    <s v="1"/>
    <x v="0"/>
    <x v="229"/>
    <x v="229"/>
    <n v="4.2300000000000004"/>
  </r>
  <r>
    <s v="1"/>
    <x v="0"/>
    <x v="230"/>
    <x v="230"/>
    <n v="3.49"/>
  </r>
  <r>
    <s v="1"/>
    <x v="0"/>
    <x v="231"/>
    <x v="231"/>
    <n v="3.35"/>
  </r>
  <r>
    <s v="1"/>
    <x v="0"/>
    <x v="232"/>
    <x v="232"/>
    <n v="3.91"/>
  </r>
  <r>
    <s v="1"/>
    <x v="0"/>
    <x v="233"/>
    <x v="233"/>
    <n v="3.62"/>
  </r>
  <r>
    <s v="1"/>
    <x v="0"/>
    <x v="234"/>
    <x v="234"/>
    <n v="3.45"/>
  </r>
  <r>
    <s v="1"/>
    <x v="0"/>
    <x v="235"/>
    <x v="235"/>
    <n v="2.97"/>
  </r>
  <r>
    <s v="1"/>
    <x v="0"/>
    <x v="236"/>
    <x v="236"/>
    <n v="3.21"/>
  </r>
  <r>
    <s v="1"/>
    <x v="0"/>
    <x v="237"/>
    <x v="237"/>
    <n v="2.97"/>
  </r>
  <r>
    <s v="1"/>
    <x v="0"/>
    <x v="238"/>
    <x v="238"/>
    <n v="2.33"/>
  </r>
  <r>
    <s v="1"/>
    <x v="0"/>
    <x v="239"/>
    <x v="239"/>
    <n v="2.63"/>
  </r>
  <r>
    <s v="1"/>
    <x v="0"/>
    <x v="240"/>
    <x v="240"/>
    <n v="1.58"/>
  </r>
  <r>
    <s v="1"/>
    <x v="0"/>
    <x v="241"/>
    <x v="241"/>
    <n v="1.93"/>
  </r>
  <r>
    <s v="1"/>
    <x v="0"/>
    <x v="242"/>
    <x v="242"/>
    <n v="2.37"/>
  </r>
  <r>
    <s v="1"/>
    <x v="0"/>
    <x v="243"/>
    <x v="243"/>
    <n v="2.13"/>
  </r>
  <r>
    <s v="1"/>
    <x v="0"/>
    <x v="244"/>
    <x v="244"/>
    <n v="1.39"/>
  </r>
  <r>
    <s v="1"/>
    <x v="0"/>
    <x v="245"/>
    <x v="245"/>
    <n v="1.38"/>
  </r>
  <r>
    <s v="1"/>
    <x v="0"/>
    <x v="246"/>
    <x v="246"/>
    <n v="0.27"/>
  </r>
  <r>
    <s v="1"/>
    <x v="0"/>
    <x v="247"/>
    <x v="247"/>
    <n v="-2.54"/>
  </r>
  <r>
    <s v="1"/>
    <x v="0"/>
    <x v="248"/>
    <x v="248"/>
    <n v="-3.23"/>
  </r>
  <r>
    <s v="1"/>
    <x v="0"/>
    <x v="249"/>
    <x v="249"/>
    <n v="-3.98"/>
  </r>
  <r>
    <s v="1"/>
    <x v="0"/>
    <x v="250"/>
    <x v="250"/>
    <n v="-3.13"/>
  </r>
  <r>
    <s v="1"/>
    <x v="0"/>
    <x v="251"/>
    <x v="251"/>
    <n v="0.11"/>
  </r>
  <r>
    <s v="1"/>
    <x v="0"/>
    <x v="252"/>
    <x v="252"/>
    <n v="1.75"/>
  </r>
  <r>
    <s v="1"/>
    <x v="0"/>
    <x v="253"/>
    <x v="253"/>
    <n v="2.91"/>
  </r>
  <r>
    <s v="1"/>
    <x v="0"/>
    <x v="254"/>
    <x v="254"/>
    <n v="3.34"/>
  </r>
  <r>
    <s v="1"/>
    <x v="0"/>
    <x v="255"/>
    <x v="255"/>
    <n v="2.78"/>
  </r>
  <r>
    <s v="1"/>
    <x v="0"/>
    <x v="256"/>
    <x v="256"/>
    <n v="2.04"/>
  </r>
  <r>
    <s v="1"/>
    <x v="0"/>
    <x v="257"/>
    <x v="257"/>
    <n v="1.74"/>
  </r>
  <r>
    <s v="1"/>
    <x v="0"/>
    <x v="258"/>
    <x v="258"/>
    <n v="0.94"/>
  </r>
  <r>
    <s v="1"/>
    <x v="0"/>
    <x v="259"/>
    <x v="259"/>
    <n v="1.54"/>
  </r>
  <r>
    <s v="1"/>
    <x v="0"/>
    <x v="260"/>
    <x v="260"/>
    <n v="2.64"/>
  </r>
  <r>
    <s v="1"/>
    <x v="0"/>
    <x v="261"/>
    <x v="261"/>
    <n v="2.4"/>
  </r>
  <r>
    <s v="1"/>
    <x v="0"/>
    <x v="262"/>
    <x v="262"/>
    <n v="2.57"/>
  </r>
  <r>
    <s v="1"/>
    <x v="0"/>
    <x v="263"/>
    <x v="263"/>
    <n v="1.55"/>
  </r>
  <r>
    <s v="1"/>
    <x v="0"/>
    <x v="264"/>
    <x v="264"/>
    <n v="1.7"/>
  </r>
  <r>
    <s v="1"/>
    <x v="0"/>
    <x v="265"/>
    <x v="265"/>
    <n v="1.52"/>
  </r>
  <r>
    <s v="1"/>
    <x v="0"/>
    <x v="266"/>
    <x v="266"/>
    <n v="2.2400000000000002"/>
  </r>
  <r>
    <s v="1"/>
    <x v="0"/>
    <x v="267"/>
    <x v="267"/>
    <n v="3.01"/>
  </r>
  <r>
    <s v="1"/>
    <x v="0"/>
    <x v="268"/>
    <x v="268"/>
    <n v="1.65"/>
  </r>
  <r>
    <s v="1"/>
    <x v="0"/>
    <x v="269"/>
    <x v="269"/>
    <n v="2.69"/>
  </r>
  <r>
    <s v="1"/>
    <x v="0"/>
    <x v="270"/>
    <x v="270"/>
    <n v="3.06"/>
  </r>
  <r>
    <s v="1"/>
    <x v="0"/>
    <x v="271"/>
    <x v="271"/>
    <n v="2.69"/>
  </r>
  <r>
    <s v="1"/>
    <x v="0"/>
    <x v="272"/>
    <x v="272"/>
    <n v="3.97"/>
  </r>
  <r>
    <s v="1"/>
    <x v="0"/>
    <x v="273"/>
    <x v="273"/>
    <n v="3.28"/>
  </r>
  <r>
    <s v="1"/>
    <x v="0"/>
    <x v="274"/>
    <x v="274"/>
    <n v="2.4500000000000002"/>
  </r>
  <r>
    <s v="1"/>
    <x v="0"/>
    <x v="275"/>
    <x v="275"/>
    <n v="2.12"/>
  </r>
  <r>
    <s v="1"/>
    <x v="0"/>
    <x v="276"/>
    <x v="276"/>
    <n v="1.8"/>
  </r>
  <r>
    <s v="1"/>
    <x v="0"/>
    <x v="277"/>
    <x v="277"/>
    <n v="1.49"/>
  </r>
  <r>
    <s v="1"/>
    <x v="0"/>
    <x v="278"/>
    <x v="278"/>
    <n v="1.81"/>
  </r>
  <r>
    <s v="1"/>
    <x v="0"/>
    <x v="279"/>
    <x v="279"/>
    <n v="2.1800000000000002"/>
  </r>
  <r>
    <s v="1"/>
    <x v="0"/>
    <x v="280"/>
    <x v="280"/>
    <n v="2.09"/>
  </r>
  <r>
    <s v="1"/>
    <x v="0"/>
    <x v="281"/>
    <x v="281"/>
    <n v="2.33"/>
  </r>
  <r>
    <s v="1"/>
    <x v="0"/>
    <x v="282"/>
    <x v="282"/>
    <n v="2.41"/>
  </r>
  <r>
    <s v="1"/>
    <x v="0"/>
    <x v="283"/>
    <x v="283"/>
    <n v="2.99"/>
  </r>
  <r>
    <s v="1"/>
    <x v="0"/>
    <x v="284"/>
    <x v="284"/>
    <n v="3.33"/>
  </r>
  <r>
    <s v="1"/>
    <x v="0"/>
    <x v="285"/>
    <x v="285"/>
    <n v="3.3"/>
  </r>
  <r>
    <s v="1"/>
    <x v="0"/>
    <x v="286"/>
    <x v="286"/>
    <n v="3.13"/>
  </r>
  <r>
    <s v="1"/>
    <x v="0"/>
    <x v="287"/>
    <x v="287"/>
    <n v="2.13"/>
  </r>
  <r>
    <s v="1"/>
    <x v="0"/>
    <x v="288"/>
    <x v="288"/>
    <n v="1.93"/>
  </r>
  <r>
    <s v="1"/>
    <x v="0"/>
    <x v="289"/>
    <x v="289"/>
    <n v="2.2400000000000002"/>
  </r>
  <r>
    <s v="1"/>
    <x v="0"/>
    <x v="290"/>
    <x v="290"/>
    <n v="2.8"/>
  </r>
  <r>
    <s v="1"/>
    <x v="0"/>
    <x v="291"/>
    <x v="291"/>
    <n v="3.35"/>
  </r>
  <r>
    <s v="1"/>
    <x v="0"/>
    <x v="292"/>
    <x v="292"/>
    <n v="1.36"/>
  </r>
  <r>
    <s v="1"/>
    <x v="0"/>
    <x v="293"/>
    <x v="293"/>
    <n v="-7.4"/>
  </r>
  <r>
    <s v="1"/>
    <x v="0"/>
    <x v="294"/>
    <x v="294"/>
    <n v="-1.36"/>
  </r>
  <r>
    <s v="1"/>
    <x v="0"/>
    <x v="295"/>
    <x v="295"/>
    <n v="-0.92"/>
  </r>
  <r>
    <s v="1"/>
    <x v="0"/>
    <x v="296"/>
    <x v="296"/>
    <n v="1.8"/>
  </r>
  <r>
    <s v="1"/>
    <x v="0"/>
    <x v="297"/>
    <x v="297"/>
    <n v="12.39"/>
  </r>
  <r>
    <s v="1"/>
    <x v="0"/>
    <x v="298"/>
    <x v="298"/>
    <n v="5.15"/>
  </r>
  <r>
    <s v="1"/>
    <x v="0"/>
    <x v="299"/>
    <x v="299"/>
    <n v="5.76"/>
  </r>
  <r>
    <s v="1"/>
    <x v="0"/>
    <x v="300"/>
    <x v="300"/>
    <n v="4.03"/>
  </r>
  <r>
    <s v="1"/>
    <x v="0"/>
    <x v="301"/>
    <x v="301"/>
    <n v="2.4500000000000002"/>
  </r>
  <r>
    <s v="1"/>
    <x v="0"/>
    <x v="302"/>
    <x v="302"/>
    <n v="2.35"/>
  </r>
  <r>
    <s v="1"/>
    <x v="0"/>
    <x v="303"/>
    <x v="303"/>
    <n v="1.32"/>
  </r>
  <r>
    <s v="1"/>
    <x v="0"/>
    <x v="304"/>
    <x v="304"/>
    <n v="2.31"/>
  </r>
  <r>
    <s v="1"/>
    <x v="0"/>
    <x v="305"/>
    <x v="305"/>
    <n v="2.79"/>
  </r>
  <r>
    <s v="1"/>
    <x v="0"/>
    <x v="306"/>
    <x v="306"/>
    <n v="3.23"/>
  </r>
  <r>
    <s v="1"/>
    <x v="0"/>
    <x v="307"/>
    <x v="307"/>
    <n v="3.39"/>
  </r>
  <r>
    <s v="1"/>
    <x v="0"/>
    <x v="308"/>
    <x v="308"/>
    <n v="2.86"/>
  </r>
  <r>
    <s v="1"/>
    <x v="0"/>
    <x v="309"/>
    <x v="309"/>
    <n v="3.13"/>
  </r>
  <r>
    <s v="1"/>
    <x v="0"/>
    <x v="310"/>
    <x v="310"/>
    <n v="2.79"/>
  </r>
  <r>
    <s v="1"/>
    <x v="0"/>
    <x v="311"/>
    <x v="311"/>
    <n v="2.4"/>
  </r>
  <r>
    <s v="1"/>
    <x v="0"/>
    <x v="312"/>
    <x v="312"/>
    <n v="2.02"/>
  </r>
  <r>
    <s v="1"/>
    <x v="0"/>
    <x v="313"/>
    <x v="313"/>
    <n v="2.08"/>
  </r>
  <r>
    <s v="1"/>
    <x v="0"/>
    <x v="314"/>
    <x v="314"/>
    <n v="2.34"/>
  </r>
  <r>
    <s v="1"/>
    <x v="0"/>
    <x v="315"/>
    <x v="315"/>
    <n v="1.99"/>
  </r>
  <r>
    <s v="1"/>
    <x v="0"/>
    <x v="316"/>
    <x v="316"/>
    <n v="2.68"/>
  </r>
  <r>
    <s v="1"/>
    <x v="0"/>
    <x v="317"/>
    <x v="317"/>
    <n v="2.1"/>
  </r>
  <r>
    <s v="2"/>
    <x v="1"/>
    <x v="40"/>
    <x v="40"/>
    <m/>
  </r>
  <r>
    <s v="2"/>
    <x v="1"/>
    <x v="41"/>
    <x v="41"/>
    <m/>
  </r>
  <r>
    <s v="2"/>
    <x v="1"/>
    <x v="42"/>
    <x v="42"/>
    <m/>
  </r>
  <r>
    <s v="2"/>
    <x v="1"/>
    <x v="43"/>
    <x v="43"/>
    <m/>
  </r>
  <r>
    <s v="2"/>
    <x v="1"/>
    <x v="44"/>
    <x v="44"/>
    <n v="2.8"/>
  </r>
  <r>
    <s v="2"/>
    <x v="1"/>
    <x v="45"/>
    <x v="45"/>
    <n v="2.4300000000000002"/>
  </r>
  <r>
    <s v="2"/>
    <x v="1"/>
    <x v="46"/>
    <x v="46"/>
    <n v="2.0699999999999998"/>
  </r>
  <r>
    <s v="2"/>
    <x v="1"/>
    <x v="47"/>
    <x v="47"/>
    <n v="1.82"/>
  </r>
  <r>
    <s v="2"/>
    <x v="1"/>
    <x v="48"/>
    <x v="48"/>
    <n v="1.81"/>
  </r>
  <r>
    <s v="2"/>
    <x v="1"/>
    <x v="49"/>
    <x v="49"/>
    <n v="1.92"/>
  </r>
  <r>
    <s v="2"/>
    <x v="1"/>
    <x v="50"/>
    <x v="50"/>
    <n v="2.02"/>
  </r>
  <r>
    <s v="2"/>
    <x v="1"/>
    <x v="51"/>
    <x v="51"/>
    <n v="2.12"/>
  </r>
  <r>
    <s v="2"/>
    <x v="1"/>
    <x v="52"/>
    <x v="52"/>
    <n v="2.12"/>
  </r>
  <r>
    <s v="2"/>
    <x v="1"/>
    <x v="53"/>
    <x v="53"/>
    <n v="1.77"/>
  </r>
  <r>
    <s v="2"/>
    <x v="1"/>
    <x v="54"/>
    <x v="54"/>
    <n v="1.21"/>
  </r>
  <r>
    <s v="2"/>
    <x v="1"/>
    <x v="55"/>
    <x v="55"/>
    <n v="1.1000000000000001"/>
  </r>
  <r>
    <s v="2"/>
    <x v="1"/>
    <x v="56"/>
    <x v="56"/>
    <n v="0.87"/>
  </r>
  <r>
    <s v="2"/>
    <x v="1"/>
    <x v="57"/>
    <x v="57"/>
    <n v="0.98"/>
  </r>
  <r>
    <s v="2"/>
    <x v="1"/>
    <x v="58"/>
    <x v="58"/>
    <n v="1.53"/>
  </r>
  <r>
    <s v="2"/>
    <x v="1"/>
    <x v="59"/>
    <x v="59"/>
    <n v="1.3"/>
  </r>
  <r>
    <s v="2"/>
    <x v="1"/>
    <x v="60"/>
    <x v="60"/>
    <n v="1.3"/>
  </r>
  <r>
    <s v="2"/>
    <x v="1"/>
    <x v="61"/>
    <x v="61"/>
    <n v="1.4"/>
  </r>
  <r>
    <s v="2"/>
    <x v="1"/>
    <x v="62"/>
    <x v="62"/>
    <n v="1.29"/>
  </r>
  <r>
    <s v="2"/>
    <x v="1"/>
    <x v="63"/>
    <x v="63"/>
    <n v="1.17"/>
  </r>
  <r>
    <s v="2"/>
    <x v="1"/>
    <x v="64"/>
    <x v="64"/>
    <n v="1.18"/>
  </r>
  <r>
    <s v="2"/>
    <x v="1"/>
    <x v="65"/>
    <x v="65"/>
    <n v="1.17"/>
  </r>
  <r>
    <s v="2"/>
    <x v="1"/>
    <x v="66"/>
    <x v="66"/>
    <n v="1.27"/>
  </r>
  <r>
    <s v="2"/>
    <x v="1"/>
    <x v="67"/>
    <x v="67"/>
    <n v="1.59"/>
  </r>
  <r>
    <s v="2"/>
    <x v="1"/>
    <x v="68"/>
    <x v="68"/>
    <n v="1.9"/>
  </r>
  <r>
    <s v="2"/>
    <x v="1"/>
    <x v="69"/>
    <x v="69"/>
    <n v="1.58"/>
  </r>
  <r>
    <s v="2"/>
    <x v="1"/>
    <x v="70"/>
    <x v="70"/>
    <n v="1.36"/>
  </r>
  <r>
    <s v="2"/>
    <x v="1"/>
    <x v="71"/>
    <x v="71"/>
    <n v="1.35"/>
  </r>
  <r>
    <s v="2"/>
    <x v="1"/>
    <x v="72"/>
    <x v="72"/>
    <n v="1.24"/>
  </r>
  <r>
    <s v="2"/>
    <x v="1"/>
    <x v="73"/>
    <x v="73"/>
    <n v="1.45"/>
  </r>
  <r>
    <s v="2"/>
    <x v="1"/>
    <x v="74"/>
    <x v="74"/>
    <n v="1.34"/>
  </r>
  <r>
    <s v="2"/>
    <x v="1"/>
    <x v="75"/>
    <x v="75"/>
    <n v="1.33"/>
  </r>
  <r>
    <s v="2"/>
    <x v="1"/>
    <x v="76"/>
    <x v="76"/>
    <n v="1.43"/>
  </r>
  <r>
    <s v="2"/>
    <x v="1"/>
    <x v="77"/>
    <x v="77"/>
    <n v="2.14"/>
  </r>
  <r>
    <s v="2"/>
    <x v="1"/>
    <x v="78"/>
    <x v="78"/>
    <n v="2.95"/>
  </r>
  <r>
    <s v="2"/>
    <x v="1"/>
    <x v="79"/>
    <x v="79"/>
    <n v="3.44"/>
  </r>
  <r>
    <s v="2"/>
    <x v="1"/>
    <x v="80"/>
    <x v="80"/>
    <n v="3.53"/>
  </r>
  <r>
    <s v="2"/>
    <x v="1"/>
    <x v="81"/>
    <x v="81"/>
    <n v="3.29"/>
  </r>
  <r>
    <s v="2"/>
    <x v="1"/>
    <x v="82"/>
    <x v="82"/>
    <n v="3.46"/>
  </r>
  <r>
    <s v="2"/>
    <x v="1"/>
    <x v="83"/>
    <x v="83"/>
    <n v="3.53"/>
  </r>
  <r>
    <s v="2"/>
    <x v="1"/>
    <x v="84"/>
    <x v="84"/>
    <n v="4.1900000000000004"/>
  </r>
  <r>
    <s v="2"/>
    <x v="1"/>
    <x v="85"/>
    <x v="85"/>
    <n v="4.4400000000000004"/>
  </r>
  <r>
    <s v="2"/>
    <x v="1"/>
    <x v="86"/>
    <x v="86"/>
    <n v="4.78"/>
  </r>
  <r>
    <s v="2"/>
    <x v="1"/>
    <x v="87"/>
    <x v="87"/>
    <n v="5.21"/>
  </r>
  <r>
    <s v="2"/>
    <x v="1"/>
    <x v="88"/>
    <x v="88"/>
    <n v="5.33"/>
  </r>
  <r>
    <s v="2"/>
    <x v="1"/>
    <x v="89"/>
    <x v="89"/>
    <n v="5.92"/>
  </r>
  <r>
    <s v="2"/>
    <x v="1"/>
    <x v="90"/>
    <x v="90"/>
    <n v="5.93"/>
  </r>
  <r>
    <s v="2"/>
    <x v="1"/>
    <x v="91"/>
    <x v="91"/>
    <n v="5.84"/>
  </r>
  <r>
    <s v="2"/>
    <x v="1"/>
    <x v="92"/>
    <x v="92"/>
    <n v="6.03"/>
  </r>
  <r>
    <s v="2"/>
    <x v="1"/>
    <x v="93"/>
    <x v="93"/>
    <n v="6.29"/>
  </r>
  <r>
    <s v="2"/>
    <x v="1"/>
    <x v="94"/>
    <x v="94"/>
    <n v="6.2"/>
  </r>
  <r>
    <s v="2"/>
    <x v="1"/>
    <x v="95"/>
    <x v="95"/>
    <n v="6.46"/>
  </r>
  <r>
    <s v="2"/>
    <x v="1"/>
    <x v="96"/>
    <x v="96"/>
    <n v="5.86"/>
  </r>
  <r>
    <s v="2"/>
    <x v="1"/>
    <x v="97"/>
    <x v="97"/>
    <n v="5.01"/>
  </r>
  <r>
    <s v="2"/>
    <x v="1"/>
    <x v="98"/>
    <x v="98"/>
    <n v="4.54"/>
  </r>
  <r>
    <s v="2"/>
    <x v="1"/>
    <x v="99"/>
    <x v="99"/>
    <n v="3.43"/>
  </r>
  <r>
    <s v="2"/>
    <x v="1"/>
    <x v="100"/>
    <x v="100"/>
    <n v="3.32"/>
  </r>
  <r>
    <s v="2"/>
    <x v="1"/>
    <x v="101"/>
    <x v="101"/>
    <n v="3.05"/>
  </r>
  <r>
    <s v="2"/>
    <x v="1"/>
    <x v="102"/>
    <x v="102"/>
    <n v="2.95"/>
  </r>
  <r>
    <s v="2"/>
    <x v="1"/>
    <x v="103"/>
    <x v="103"/>
    <n v="2.93"/>
  </r>
  <r>
    <s v="2"/>
    <x v="1"/>
    <x v="104"/>
    <x v="104"/>
    <n v="2.83"/>
  </r>
  <r>
    <s v="2"/>
    <x v="1"/>
    <x v="105"/>
    <x v="105"/>
    <n v="3.11"/>
  </r>
  <r>
    <s v="2"/>
    <x v="1"/>
    <x v="106"/>
    <x v="106"/>
    <n v="3.39"/>
  </r>
  <r>
    <s v="2"/>
    <x v="1"/>
    <x v="107"/>
    <x v="107"/>
    <n v="4.57"/>
  </r>
  <r>
    <s v="2"/>
    <x v="1"/>
    <x v="108"/>
    <x v="108"/>
    <n v="5.43"/>
  </r>
  <r>
    <s v="2"/>
    <x v="1"/>
    <x v="109"/>
    <x v="109"/>
    <n v="7.07"/>
  </r>
  <r>
    <s v="2"/>
    <x v="1"/>
    <x v="110"/>
    <x v="110"/>
    <n v="9.6199999999999992"/>
  </r>
  <r>
    <s v="2"/>
    <x v="1"/>
    <x v="111"/>
    <x v="111"/>
    <n v="10.97"/>
  </r>
  <r>
    <s v="2"/>
    <x v="1"/>
    <x v="112"/>
    <x v="112"/>
    <n v="11.57"/>
  </r>
  <r>
    <s v="2"/>
    <x v="1"/>
    <x v="113"/>
    <x v="113"/>
    <n v="10.45"/>
  </r>
  <r>
    <s v="2"/>
    <x v="1"/>
    <x v="114"/>
    <x v="114"/>
    <n v="8.18"/>
  </r>
  <r>
    <s v="2"/>
    <x v="1"/>
    <x v="115"/>
    <x v="115"/>
    <n v="6.91"/>
  </r>
  <r>
    <s v="2"/>
    <x v="1"/>
    <x v="116"/>
    <x v="116"/>
    <n v="6.64"/>
  </r>
  <r>
    <s v="2"/>
    <x v="1"/>
    <x v="117"/>
    <x v="117"/>
    <n v="6.41"/>
  </r>
  <r>
    <s v="2"/>
    <x v="1"/>
    <x v="118"/>
    <x v="118"/>
    <n v="6.76"/>
  </r>
  <r>
    <s v="2"/>
    <x v="1"/>
    <x v="119"/>
    <x v="119"/>
    <n v="6.4"/>
  </r>
  <r>
    <s v="2"/>
    <x v="1"/>
    <x v="120"/>
    <x v="120"/>
    <n v="6.17"/>
  </r>
  <r>
    <s v="2"/>
    <x v="1"/>
    <x v="121"/>
    <x v="121"/>
    <n v="6.44"/>
  </r>
  <r>
    <s v="2"/>
    <x v="1"/>
    <x v="122"/>
    <x v="122"/>
    <n v="6.22"/>
  </r>
  <r>
    <s v="2"/>
    <x v="1"/>
    <x v="123"/>
    <x v="123"/>
    <n v="6.19"/>
  </r>
  <r>
    <s v="2"/>
    <x v="1"/>
    <x v="124"/>
    <x v="124"/>
    <n v="6.31"/>
  </r>
  <r>
    <s v="2"/>
    <x v="1"/>
    <x v="125"/>
    <x v="125"/>
    <n v="6.76"/>
  </r>
  <r>
    <s v="2"/>
    <x v="1"/>
    <x v="126"/>
    <x v="126"/>
    <n v="7.53"/>
  </r>
  <r>
    <s v="2"/>
    <x v="1"/>
    <x v="127"/>
    <x v="127"/>
    <n v="8.4499999999999993"/>
  </r>
  <r>
    <s v="2"/>
    <x v="1"/>
    <x v="128"/>
    <x v="128"/>
    <n v="9.0399999999999991"/>
  </r>
  <r>
    <s v="2"/>
    <x v="1"/>
    <x v="129"/>
    <x v="129"/>
    <n v="9.3699999999999992"/>
  </r>
  <r>
    <s v="2"/>
    <x v="1"/>
    <x v="130"/>
    <x v="130"/>
    <n v="9.83"/>
  </r>
  <r>
    <s v="2"/>
    <x v="1"/>
    <x v="131"/>
    <x v="131"/>
    <n v="10.7"/>
  </r>
  <r>
    <s v="2"/>
    <x v="1"/>
    <x v="132"/>
    <x v="132"/>
    <n v="12.19"/>
  </r>
  <r>
    <s v="2"/>
    <x v="1"/>
    <x v="133"/>
    <x v="133"/>
    <n v="13.28"/>
  </r>
  <r>
    <s v="2"/>
    <x v="1"/>
    <x v="134"/>
    <x v="134"/>
    <n v="12.07"/>
  </r>
  <r>
    <s v="2"/>
    <x v="1"/>
    <x v="135"/>
    <x v="135"/>
    <n v="12.16"/>
  </r>
  <r>
    <s v="2"/>
    <x v="1"/>
    <x v="136"/>
    <x v="136"/>
    <n v="10.7"/>
  </r>
  <r>
    <s v="2"/>
    <x v="1"/>
    <x v="137"/>
    <x v="137"/>
    <n v="9.48"/>
  </r>
  <r>
    <s v="2"/>
    <x v="1"/>
    <x v="138"/>
    <x v="138"/>
    <n v="11.51"/>
  </r>
  <r>
    <s v="2"/>
    <x v="1"/>
    <x v="139"/>
    <x v="139"/>
    <n v="10.25"/>
  </r>
  <r>
    <s v="2"/>
    <x v="1"/>
    <x v="140"/>
    <x v="140"/>
    <n v="9.0399999999999991"/>
  </r>
  <r>
    <s v="2"/>
    <x v="1"/>
    <x v="141"/>
    <x v="141"/>
    <n v="8.66"/>
  </r>
  <r>
    <s v="2"/>
    <x v="1"/>
    <x v="142"/>
    <x v="142"/>
    <n v="6.87"/>
  </r>
  <r>
    <s v="2"/>
    <x v="1"/>
    <x v="143"/>
    <x v="143"/>
    <n v="5.19"/>
  </r>
  <r>
    <s v="2"/>
    <x v="1"/>
    <x v="144"/>
    <x v="144"/>
    <n v="4.55"/>
  </r>
  <r>
    <s v="2"/>
    <x v="1"/>
    <x v="145"/>
    <x v="145"/>
    <n v="3.67"/>
  </r>
  <r>
    <s v="2"/>
    <x v="1"/>
    <x v="146"/>
    <x v="146"/>
    <n v="3.23"/>
  </r>
  <r>
    <s v="2"/>
    <x v="1"/>
    <x v="147"/>
    <x v="147"/>
    <n v="4.21"/>
  </r>
  <r>
    <s v="2"/>
    <x v="1"/>
    <x v="148"/>
    <x v="148"/>
    <n v="5"/>
  </r>
  <r>
    <s v="2"/>
    <x v="1"/>
    <x v="149"/>
    <x v="149"/>
    <n v="5.26"/>
  </r>
  <r>
    <s v="2"/>
    <x v="1"/>
    <x v="150"/>
    <x v="150"/>
    <n v="5.26"/>
  </r>
  <r>
    <s v="2"/>
    <x v="1"/>
    <x v="151"/>
    <x v="151"/>
    <n v="4.96"/>
  </r>
  <r>
    <s v="2"/>
    <x v="1"/>
    <x v="152"/>
    <x v="152"/>
    <n v="4.67"/>
  </r>
  <r>
    <s v="2"/>
    <x v="1"/>
    <x v="153"/>
    <x v="153"/>
    <n v="4.4800000000000004"/>
  </r>
  <r>
    <s v="2"/>
    <x v="1"/>
    <x v="154"/>
    <x v="154"/>
    <n v="4.1100000000000003"/>
  </r>
  <r>
    <s v="2"/>
    <x v="1"/>
    <x v="155"/>
    <x v="155"/>
    <n v="4.26"/>
  </r>
  <r>
    <s v="2"/>
    <x v="1"/>
    <x v="156"/>
    <x v="156"/>
    <n v="4.24"/>
  </r>
  <r>
    <s v="2"/>
    <x v="1"/>
    <x v="157"/>
    <x v="157"/>
    <n v="4.01"/>
  </r>
  <r>
    <s v="2"/>
    <x v="1"/>
    <x v="158"/>
    <x v="158"/>
    <n v="4.07"/>
  </r>
  <r>
    <s v="2"/>
    <x v="1"/>
    <x v="159"/>
    <x v="159"/>
    <n v="3.87"/>
  </r>
  <r>
    <s v="2"/>
    <x v="1"/>
    <x v="160"/>
    <x v="160"/>
    <n v="3.59"/>
  </r>
  <r>
    <s v="2"/>
    <x v="1"/>
    <x v="161"/>
    <x v="161"/>
    <n v="3.98"/>
  </r>
  <r>
    <s v="2"/>
    <x v="1"/>
    <x v="162"/>
    <x v="162"/>
    <n v="3.97"/>
  </r>
  <r>
    <s v="2"/>
    <x v="1"/>
    <x v="163"/>
    <x v="163"/>
    <n v="4.16"/>
  </r>
  <r>
    <s v="2"/>
    <x v="1"/>
    <x v="164"/>
    <x v="164"/>
    <n v="4.33"/>
  </r>
  <r>
    <s v="2"/>
    <x v="1"/>
    <x v="165"/>
    <x v="165"/>
    <n v="4.34"/>
  </r>
  <r>
    <s v="2"/>
    <x v="1"/>
    <x v="166"/>
    <x v="166"/>
    <n v="4.5199999999999996"/>
  </r>
  <r>
    <s v="2"/>
    <x v="1"/>
    <x v="167"/>
    <x v="167"/>
    <n v="4.58"/>
  </r>
  <r>
    <s v="2"/>
    <x v="1"/>
    <x v="168"/>
    <x v="168"/>
    <n v="4.67"/>
  </r>
  <r>
    <s v="2"/>
    <x v="1"/>
    <x v="169"/>
    <x v="169"/>
    <n v="4.54"/>
  </r>
  <r>
    <s v="2"/>
    <x v="1"/>
    <x v="170"/>
    <x v="170"/>
    <n v="4.38"/>
  </r>
  <r>
    <s v="2"/>
    <x v="1"/>
    <x v="171"/>
    <x v="171"/>
    <n v="4.38"/>
  </r>
  <r>
    <s v="2"/>
    <x v="1"/>
    <x v="172"/>
    <x v="172"/>
    <n v="4.5999999999999996"/>
  </r>
  <r>
    <s v="2"/>
    <x v="1"/>
    <x v="173"/>
    <x v="173"/>
    <n v="4.83"/>
  </r>
  <r>
    <s v="2"/>
    <x v="1"/>
    <x v="174"/>
    <x v="174"/>
    <n v="5.38"/>
  </r>
  <r>
    <s v="2"/>
    <x v="1"/>
    <x v="175"/>
    <x v="175"/>
    <n v="5.31"/>
  </r>
  <r>
    <s v="2"/>
    <x v="1"/>
    <x v="176"/>
    <x v="176"/>
    <n v="5.5"/>
  </r>
  <r>
    <s v="2"/>
    <x v="1"/>
    <x v="177"/>
    <x v="177"/>
    <n v="5.08"/>
  </r>
  <r>
    <s v="2"/>
    <x v="1"/>
    <x v="178"/>
    <x v="178"/>
    <n v="4.66"/>
  </r>
  <r>
    <s v="2"/>
    <x v="1"/>
    <x v="179"/>
    <x v="179"/>
    <n v="4.4400000000000004"/>
  </r>
  <r>
    <s v="2"/>
    <x v="1"/>
    <x v="180"/>
    <x v="180"/>
    <n v="3.86"/>
  </r>
  <r>
    <s v="2"/>
    <x v="1"/>
    <x v="181"/>
    <x v="181"/>
    <n v="3.82"/>
  </r>
  <r>
    <s v="2"/>
    <x v="1"/>
    <x v="182"/>
    <x v="182"/>
    <n v="3.5"/>
  </r>
  <r>
    <s v="2"/>
    <x v="1"/>
    <x v="183"/>
    <x v="183"/>
    <n v="3.47"/>
  </r>
  <r>
    <s v="2"/>
    <x v="1"/>
    <x v="184"/>
    <x v="184"/>
    <n v="3.46"/>
  </r>
  <r>
    <s v="2"/>
    <x v="1"/>
    <x v="185"/>
    <x v="185"/>
    <n v="3.43"/>
  </r>
  <r>
    <s v="2"/>
    <x v="1"/>
    <x v="186"/>
    <x v="186"/>
    <n v="3.25"/>
  </r>
  <r>
    <s v="2"/>
    <x v="1"/>
    <x v="187"/>
    <x v="187"/>
    <n v="3.13"/>
  </r>
  <r>
    <s v="2"/>
    <x v="1"/>
    <x v="188"/>
    <x v="188"/>
    <n v="2.9"/>
  </r>
  <r>
    <s v="2"/>
    <x v="1"/>
    <x v="189"/>
    <x v="189"/>
    <n v="2.74"/>
  </r>
  <r>
    <s v="2"/>
    <x v="1"/>
    <x v="190"/>
    <x v="190"/>
    <n v="2.9"/>
  </r>
  <r>
    <s v="2"/>
    <x v="1"/>
    <x v="191"/>
    <x v="191"/>
    <n v="2.75"/>
  </r>
  <r>
    <s v="2"/>
    <x v="1"/>
    <x v="192"/>
    <x v="192"/>
    <n v="2.95"/>
  </r>
  <r>
    <s v="2"/>
    <x v="1"/>
    <x v="193"/>
    <x v="193"/>
    <n v="3.08"/>
  </r>
  <r>
    <s v="2"/>
    <x v="1"/>
    <x v="194"/>
    <x v="194"/>
    <n v="2.99"/>
  </r>
  <r>
    <s v="2"/>
    <x v="1"/>
    <x v="195"/>
    <x v="195"/>
    <n v="3.06"/>
  </r>
  <r>
    <s v="2"/>
    <x v="1"/>
    <x v="196"/>
    <x v="196"/>
    <n v="2.89"/>
  </r>
  <r>
    <s v="2"/>
    <x v="1"/>
    <x v="197"/>
    <x v="197"/>
    <n v="2.65"/>
  </r>
  <r>
    <s v="2"/>
    <x v="1"/>
    <x v="198"/>
    <x v="198"/>
    <n v="2.64"/>
  </r>
  <r>
    <s v="2"/>
    <x v="1"/>
    <x v="199"/>
    <x v="199"/>
    <n v="2.58"/>
  </r>
  <r>
    <s v="2"/>
    <x v="1"/>
    <x v="200"/>
    <x v="200"/>
    <n v="2.48"/>
  </r>
  <r>
    <s v="2"/>
    <x v="1"/>
    <x v="201"/>
    <x v="201"/>
    <n v="2.5299999999999998"/>
  </r>
  <r>
    <s v="2"/>
    <x v="1"/>
    <x v="202"/>
    <x v="202"/>
    <n v="2.31"/>
  </r>
  <r>
    <s v="2"/>
    <x v="1"/>
    <x v="203"/>
    <x v="203"/>
    <n v="2.23"/>
  </r>
  <r>
    <s v="2"/>
    <x v="1"/>
    <x v="204"/>
    <x v="204"/>
    <n v="2.2599999999999998"/>
  </r>
  <r>
    <s v="2"/>
    <x v="1"/>
    <x v="205"/>
    <x v="205"/>
    <n v="2.19"/>
  </r>
  <r>
    <s v="2"/>
    <x v="1"/>
    <x v="206"/>
    <x v="206"/>
    <n v="2.35"/>
  </r>
  <r>
    <s v="2"/>
    <x v="1"/>
    <x v="207"/>
    <x v="207"/>
    <n v="2.34"/>
  </r>
  <r>
    <s v="2"/>
    <x v="1"/>
    <x v="208"/>
    <x v="208"/>
    <n v="2.17"/>
  </r>
  <r>
    <s v="2"/>
    <x v="1"/>
    <x v="209"/>
    <x v="209"/>
    <n v="2.08"/>
  </r>
  <r>
    <s v="2"/>
    <x v="1"/>
    <x v="210"/>
    <x v="210"/>
    <n v="2.0099999999999998"/>
  </r>
  <r>
    <s v="2"/>
    <x v="1"/>
    <x v="211"/>
    <x v="211"/>
    <n v="2.02"/>
  </r>
  <r>
    <s v="2"/>
    <x v="1"/>
    <x v="212"/>
    <x v="212"/>
    <n v="2.2400000000000002"/>
  </r>
  <r>
    <s v="2"/>
    <x v="1"/>
    <x v="213"/>
    <x v="213"/>
    <n v="2.4"/>
  </r>
  <r>
    <s v="2"/>
    <x v="1"/>
    <x v="214"/>
    <x v="214"/>
    <n v="2.54"/>
  </r>
  <r>
    <s v="2"/>
    <x v="1"/>
    <x v="215"/>
    <x v="215"/>
    <n v="2.58"/>
  </r>
  <r>
    <s v="2"/>
    <x v="1"/>
    <x v="216"/>
    <x v="216"/>
    <n v="2.65"/>
  </r>
  <r>
    <s v="2"/>
    <x v="1"/>
    <x v="217"/>
    <x v="217"/>
    <n v="2.64"/>
  </r>
  <r>
    <s v="2"/>
    <x v="1"/>
    <x v="218"/>
    <x v="218"/>
    <n v="2.66"/>
  </r>
  <r>
    <s v="2"/>
    <x v="1"/>
    <x v="219"/>
    <x v="219"/>
    <n v="2.71"/>
  </r>
  <r>
    <s v="2"/>
    <x v="1"/>
    <x v="220"/>
    <x v="220"/>
    <n v="2.5299999999999998"/>
  </r>
  <r>
    <s v="2"/>
    <x v="1"/>
    <x v="221"/>
    <x v="221"/>
    <n v="2.4300000000000002"/>
  </r>
  <r>
    <s v="2"/>
    <x v="1"/>
    <x v="222"/>
    <x v="222"/>
    <n v="2.27"/>
  </r>
  <r>
    <s v="2"/>
    <x v="1"/>
    <x v="223"/>
    <x v="223"/>
    <n v="2.06"/>
  </r>
  <r>
    <s v="2"/>
    <x v="1"/>
    <x v="224"/>
    <x v="224"/>
    <n v="1.83"/>
  </r>
  <r>
    <s v="2"/>
    <x v="1"/>
    <x v="225"/>
    <x v="225"/>
    <n v="1.49"/>
  </r>
  <r>
    <s v="2"/>
    <x v="1"/>
    <x v="226"/>
    <x v="226"/>
    <n v="1.36"/>
  </r>
  <r>
    <s v="2"/>
    <x v="1"/>
    <x v="227"/>
    <x v="227"/>
    <n v="1.1599999999999999"/>
  </r>
  <r>
    <s v="2"/>
    <x v="1"/>
    <x v="228"/>
    <x v="228"/>
    <n v="1.32"/>
  </r>
  <r>
    <s v="2"/>
    <x v="1"/>
    <x v="229"/>
    <x v="229"/>
    <n v="1.78"/>
  </r>
  <r>
    <s v="2"/>
    <x v="1"/>
    <x v="230"/>
    <x v="230"/>
    <n v="1.81"/>
  </r>
  <r>
    <s v="2"/>
    <x v="1"/>
    <x v="231"/>
    <x v="231"/>
    <n v="2.16"/>
  </r>
  <r>
    <s v="2"/>
    <x v="1"/>
    <x v="232"/>
    <x v="232"/>
    <n v="2.31"/>
  </r>
  <r>
    <s v="2"/>
    <x v="1"/>
    <x v="233"/>
    <x v="233"/>
    <n v="2.14"/>
  </r>
  <r>
    <s v="2"/>
    <x v="1"/>
    <x v="234"/>
    <x v="234"/>
    <n v="2.0499999999999998"/>
  </r>
  <r>
    <s v="2"/>
    <x v="1"/>
    <x v="235"/>
    <x v="235"/>
    <n v="2.1"/>
  </r>
  <r>
    <s v="2"/>
    <x v="1"/>
    <x v="236"/>
    <x v="236"/>
    <n v="2.11"/>
  </r>
  <r>
    <s v="2"/>
    <x v="1"/>
    <x v="237"/>
    <x v="237"/>
    <n v="2.46"/>
  </r>
  <r>
    <s v="2"/>
    <x v="1"/>
    <x v="238"/>
    <x v="238"/>
    <n v="2.82"/>
  </r>
  <r>
    <s v="2"/>
    <x v="1"/>
    <x v="239"/>
    <x v="239"/>
    <n v="2.67"/>
  </r>
  <r>
    <s v="2"/>
    <x v="1"/>
    <x v="240"/>
    <x v="240"/>
    <n v="2.63"/>
  </r>
  <r>
    <s v="2"/>
    <x v="1"/>
    <x v="241"/>
    <x v="241"/>
    <n v="2.29"/>
  </r>
  <r>
    <s v="2"/>
    <x v="1"/>
    <x v="242"/>
    <x v="242"/>
    <n v="2.12"/>
  </r>
  <r>
    <s v="2"/>
    <x v="1"/>
    <x v="243"/>
    <x v="243"/>
    <n v="2.31"/>
  </r>
  <r>
    <s v="2"/>
    <x v="1"/>
    <x v="244"/>
    <x v="244"/>
    <n v="2.39"/>
  </r>
  <r>
    <s v="2"/>
    <x v="1"/>
    <x v="245"/>
    <x v="245"/>
    <n v="2.34"/>
  </r>
  <r>
    <s v="2"/>
    <x v="1"/>
    <x v="246"/>
    <x v="246"/>
    <n v="2.4700000000000002"/>
  </r>
  <r>
    <s v="2"/>
    <x v="1"/>
    <x v="247"/>
    <x v="247"/>
    <n v="2"/>
  </r>
  <r>
    <s v="2"/>
    <x v="1"/>
    <x v="248"/>
    <x v="248"/>
    <n v="1.75"/>
  </r>
  <r>
    <s v="2"/>
    <x v="1"/>
    <x v="249"/>
    <x v="249"/>
    <n v="1.83"/>
  </r>
  <r>
    <s v="2"/>
    <x v="1"/>
    <x v="250"/>
    <x v="250"/>
    <n v="1.48"/>
  </r>
  <r>
    <s v="2"/>
    <x v="1"/>
    <x v="251"/>
    <x v="251"/>
    <n v="1.75"/>
  </r>
  <r>
    <s v="2"/>
    <x v="1"/>
    <x v="252"/>
    <x v="252"/>
    <n v="1.34"/>
  </r>
  <r>
    <s v="2"/>
    <x v="1"/>
    <x v="253"/>
    <x v="253"/>
    <n v="0.95"/>
  </r>
  <r>
    <s v="2"/>
    <x v="1"/>
    <x v="254"/>
    <x v="254"/>
    <n v="0.9"/>
  </r>
  <r>
    <s v="2"/>
    <x v="1"/>
    <x v="255"/>
    <x v="255"/>
    <n v="0.65"/>
  </r>
  <r>
    <s v="2"/>
    <x v="1"/>
    <x v="256"/>
    <x v="256"/>
    <n v="1.1100000000000001"/>
  </r>
  <r>
    <s v="2"/>
    <x v="1"/>
    <x v="257"/>
    <x v="257"/>
    <n v="1.45"/>
  </r>
  <r>
    <s v="2"/>
    <x v="1"/>
    <x v="258"/>
    <x v="258"/>
    <n v="1.9"/>
  </r>
  <r>
    <s v="2"/>
    <x v="1"/>
    <x v="259"/>
    <x v="259"/>
    <n v="2.17"/>
  </r>
  <r>
    <s v="2"/>
    <x v="1"/>
    <x v="260"/>
    <x v="260"/>
    <n v="2.23"/>
  </r>
  <r>
    <s v="2"/>
    <x v="1"/>
    <x v="261"/>
    <x v="261"/>
    <n v="2.25"/>
  </r>
  <r>
    <s v="2"/>
    <x v="1"/>
    <x v="262"/>
    <x v="262"/>
    <n v="2.02"/>
  </r>
  <r>
    <s v="2"/>
    <x v="1"/>
    <x v="263"/>
    <x v="263"/>
    <n v="1.95"/>
  </r>
  <r>
    <s v="2"/>
    <x v="1"/>
    <x v="264"/>
    <x v="264"/>
    <n v="1.93"/>
  </r>
  <r>
    <s v="2"/>
    <x v="1"/>
    <x v="265"/>
    <x v="265"/>
    <n v="1.66"/>
  </r>
  <r>
    <s v="2"/>
    <x v="1"/>
    <x v="266"/>
    <x v="266"/>
    <n v="1.74"/>
  </r>
  <r>
    <s v="2"/>
    <x v="1"/>
    <x v="267"/>
    <x v="267"/>
    <n v="1.72"/>
  </r>
  <r>
    <s v="2"/>
    <x v="1"/>
    <x v="268"/>
    <x v="268"/>
    <n v="1.6"/>
  </r>
  <r>
    <s v="2"/>
    <x v="1"/>
    <x v="269"/>
    <x v="269"/>
    <n v="1.9"/>
  </r>
  <r>
    <s v="2"/>
    <x v="1"/>
    <x v="270"/>
    <x v="270"/>
    <n v="1.77"/>
  </r>
  <r>
    <s v="2"/>
    <x v="1"/>
    <x v="271"/>
    <x v="271"/>
    <n v="1.73"/>
  </r>
  <r>
    <s v="2"/>
    <x v="1"/>
    <x v="272"/>
    <x v="272"/>
    <n v="1.69"/>
  </r>
  <r>
    <s v="2"/>
    <x v="1"/>
    <x v="273"/>
    <x v="273"/>
    <n v="1.78"/>
  </r>
  <r>
    <s v="2"/>
    <x v="1"/>
    <x v="274"/>
    <x v="274"/>
    <n v="1.86"/>
  </r>
  <r>
    <s v="2"/>
    <x v="1"/>
    <x v="275"/>
    <x v="275"/>
    <n v="1.99"/>
  </r>
  <r>
    <s v="2"/>
    <x v="1"/>
    <x v="276"/>
    <x v="276"/>
    <n v="2.17"/>
  </r>
  <r>
    <s v="2"/>
    <x v="1"/>
    <x v="277"/>
    <x v="277"/>
    <n v="2.2200000000000002"/>
  </r>
  <r>
    <s v="2"/>
    <x v="1"/>
    <x v="278"/>
    <x v="278"/>
    <n v="2.25"/>
  </r>
  <r>
    <s v="2"/>
    <x v="1"/>
    <x v="279"/>
    <x v="279"/>
    <n v="2.1800000000000002"/>
  </r>
  <r>
    <s v="2"/>
    <x v="1"/>
    <x v="280"/>
    <x v="280"/>
    <n v="2.1800000000000002"/>
  </r>
  <r>
    <s v="2"/>
    <x v="1"/>
    <x v="281"/>
    <x v="281"/>
    <n v="1.78"/>
  </r>
  <r>
    <s v="2"/>
    <x v="1"/>
    <x v="282"/>
    <x v="282"/>
    <n v="1.64"/>
  </r>
  <r>
    <s v="2"/>
    <x v="1"/>
    <x v="283"/>
    <x v="283"/>
    <n v="1.76"/>
  </r>
  <r>
    <s v="2"/>
    <x v="1"/>
    <x v="284"/>
    <x v="284"/>
    <n v="1.96"/>
  </r>
  <r>
    <s v="2"/>
    <x v="1"/>
    <x v="285"/>
    <x v="285"/>
    <n v="2.2200000000000002"/>
  </r>
  <r>
    <s v="2"/>
    <x v="1"/>
    <x v="286"/>
    <x v="286"/>
    <n v="2.2000000000000002"/>
  </r>
  <r>
    <s v="2"/>
    <x v="1"/>
    <x v="287"/>
    <x v="287"/>
    <n v="2.2000000000000002"/>
  </r>
  <r>
    <s v="2"/>
    <x v="1"/>
    <x v="288"/>
    <x v="288"/>
    <n v="2.13"/>
  </r>
  <r>
    <s v="2"/>
    <x v="1"/>
    <x v="289"/>
    <x v="289"/>
    <n v="2.0499999999999998"/>
  </r>
  <r>
    <s v="2"/>
    <x v="1"/>
    <x v="290"/>
    <x v="290"/>
    <n v="2.27"/>
  </r>
  <r>
    <s v="2"/>
    <x v="1"/>
    <x v="291"/>
    <x v="291"/>
    <n v="2.33"/>
  </r>
  <r>
    <s v="2"/>
    <x v="1"/>
    <x v="292"/>
    <x v="292"/>
    <n v="2.25"/>
  </r>
  <r>
    <s v="2"/>
    <x v="1"/>
    <x v="293"/>
    <x v="293"/>
    <n v="1.28"/>
  </r>
  <r>
    <s v="2"/>
    <x v="1"/>
    <x v="294"/>
    <x v="294"/>
    <n v="1.67"/>
  </r>
  <r>
    <s v="2"/>
    <x v="1"/>
    <x v="295"/>
    <x v="295"/>
    <n v="1.64"/>
  </r>
  <r>
    <s v="2"/>
    <x v="1"/>
    <x v="296"/>
    <x v="296"/>
    <n v="1.44"/>
  </r>
  <r>
    <s v="2"/>
    <x v="1"/>
    <x v="297"/>
    <x v="297"/>
    <n v="3.74"/>
  </r>
  <r>
    <s v="2"/>
    <x v="1"/>
    <x v="298"/>
    <x v="298"/>
    <n v="4.05"/>
  </r>
  <r>
    <s v="2"/>
    <x v="1"/>
    <x v="299"/>
    <x v="299"/>
    <n v="5.0199999999999996"/>
  </r>
  <r>
    <s v="2"/>
    <x v="1"/>
    <x v="300"/>
    <x v="300"/>
    <n v="6.33"/>
  </r>
  <r>
    <s v="2"/>
    <x v="1"/>
    <x v="301"/>
    <x v="301"/>
    <n v="6.03"/>
  </r>
  <r>
    <s v="2"/>
    <x v="1"/>
    <x v="302"/>
    <x v="302"/>
    <n v="6.27"/>
  </r>
  <r>
    <s v="2"/>
    <x v="1"/>
    <x v="303"/>
    <x v="303"/>
    <n v="5.98"/>
  </r>
  <r>
    <s v="2"/>
    <x v="1"/>
    <x v="304"/>
    <x v="304"/>
    <n v="5.53"/>
  </r>
  <r>
    <s v="2"/>
    <x v="1"/>
    <x v="305"/>
    <x v="305"/>
    <n v="5.23"/>
  </r>
  <r>
    <s v="2"/>
    <x v="1"/>
    <x v="306"/>
    <x v="306"/>
    <n v="4.41"/>
  </r>
  <r>
    <s v="2"/>
    <x v="1"/>
    <x v="307"/>
    <x v="307"/>
    <n v="3.99"/>
  </r>
  <r>
    <s v="2"/>
    <x v="1"/>
    <x v="308"/>
    <x v="308"/>
    <n v="3.81"/>
  </r>
  <r>
    <s v="2"/>
    <x v="1"/>
    <x v="309"/>
    <x v="309"/>
    <n v="3.43"/>
  </r>
  <r>
    <s v="2"/>
    <x v="1"/>
    <x v="310"/>
    <x v="310"/>
    <n v="3.27"/>
  </r>
  <r>
    <s v="2"/>
    <x v="1"/>
    <x v="311"/>
    <x v="311"/>
    <n v="3.27"/>
  </r>
  <r>
    <s v="2"/>
    <x v="1"/>
    <x v="312"/>
    <x v="312"/>
    <n v="3.08"/>
  </r>
  <r>
    <s v="2"/>
    <x v="1"/>
    <x v="313"/>
    <x v="313"/>
    <n v="2.82"/>
  </r>
  <r>
    <s v="2"/>
    <x v="1"/>
    <x v="314"/>
    <x v="314"/>
    <n v="3.06"/>
  </r>
  <r>
    <s v="2"/>
    <x v="1"/>
    <x v="316"/>
    <x v="316"/>
    <n v="3.39"/>
  </r>
  <r>
    <s v="2"/>
    <x v="1"/>
    <x v="317"/>
    <x v="317"/>
    <n v="3.26"/>
  </r>
  <r>
    <s v="3"/>
    <x v="2"/>
    <x v="108"/>
    <x v="108"/>
    <m/>
  </r>
  <r>
    <s v="3"/>
    <x v="2"/>
    <x v="109"/>
    <x v="109"/>
    <m/>
  </r>
  <r>
    <s v="3"/>
    <x v="2"/>
    <x v="110"/>
    <x v="110"/>
    <m/>
  </r>
  <r>
    <s v="3"/>
    <x v="2"/>
    <x v="111"/>
    <x v="111"/>
    <m/>
  </r>
  <r>
    <s v="3"/>
    <x v="2"/>
    <x v="112"/>
    <x v="112"/>
    <n v="17.18"/>
  </r>
  <r>
    <s v="3"/>
    <x v="2"/>
    <x v="113"/>
    <x v="113"/>
    <n v="13.81"/>
  </r>
  <r>
    <s v="3"/>
    <x v="2"/>
    <x v="114"/>
    <x v="114"/>
    <n v="9.23"/>
  </r>
  <r>
    <s v="3"/>
    <x v="2"/>
    <x v="115"/>
    <x v="115"/>
    <n v="6.4"/>
  </r>
  <r>
    <s v="3"/>
    <x v="2"/>
    <x v="116"/>
    <x v="116"/>
    <n v="5.57"/>
  </r>
  <r>
    <s v="3"/>
    <x v="2"/>
    <x v="117"/>
    <x v="117"/>
    <n v="5.34"/>
  </r>
  <r>
    <s v="3"/>
    <x v="2"/>
    <x v="118"/>
    <x v="118"/>
    <n v="5.89"/>
  </r>
  <r>
    <s v="3"/>
    <x v="2"/>
    <x v="119"/>
    <x v="119"/>
    <n v="5.79"/>
  </r>
  <r>
    <s v="3"/>
    <x v="2"/>
    <x v="120"/>
    <x v="120"/>
    <n v="5.6"/>
  </r>
  <r>
    <s v="3"/>
    <x v="2"/>
    <x v="121"/>
    <x v="121"/>
    <n v="5.87"/>
  </r>
  <r>
    <s v="3"/>
    <x v="2"/>
    <x v="122"/>
    <x v="122"/>
    <n v="5.98"/>
  </r>
  <r>
    <s v="3"/>
    <x v="2"/>
    <x v="123"/>
    <x v="123"/>
    <n v="6.41"/>
  </r>
  <r>
    <s v="3"/>
    <x v="2"/>
    <x v="124"/>
    <x v="124"/>
    <n v="6.32"/>
  </r>
  <r>
    <s v="3"/>
    <x v="2"/>
    <x v="125"/>
    <x v="125"/>
    <n v="7.51"/>
  </r>
  <r>
    <s v="3"/>
    <x v="2"/>
    <x v="126"/>
    <x v="126"/>
    <n v="8.27"/>
  </r>
  <r>
    <s v="3"/>
    <x v="2"/>
    <x v="127"/>
    <x v="127"/>
    <n v="7.86"/>
  </r>
  <r>
    <s v="3"/>
    <x v="2"/>
    <x v="128"/>
    <x v="128"/>
    <n v="9.11"/>
  </r>
  <r>
    <s v="3"/>
    <x v="2"/>
    <x v="129"/>
    <x v="129"/>
    <n v="8.9"/>
  </r>
  <r>
    <s v="3"/>
    <x v="2"/>
    <x v="130"/>
    <x v="130"/>
    <n v="8.42"/>
  </r>
  <r>
    <s v="3"/>
    <x v="2"/>
    <x v="131"/>
    <x v="131"/>
    <n v="9.4"/>
  </r>
  <r>
    <s v="3"/>
    <x v="2"/>
    <x v="132"/>
    <x v="132"/>
    <n v="10.81"/>
  </r>
  <r>
    <s v="3"/>
    <x v="2"/>
    <x v="133"/>
    <x v="133"/>
    <n v="10.93"/>
  </r>
  <r>
    <s v="3"/>
    <x v="2"/>
    <x v="134"/>
    <x v="134"/>
    <n v="11.77"/>
  </r>
  <r>
    <s v="3"/>
    <x v="2"/>
    <x v="135"/>
    <x v="135"/>
    <n v="11.11"/>
  </r>
  <r>
    <s v="3"/>
    <x v="2"/>
    <x v="136"/>
    <x v="136"/>
    <n v="9.44"/>
  </r>
  <r>
    <s v="3"/>
    <x v="2"/>
    <x v="137"/>
    <x v="137"/>
    <n v="9.43"/>
  </r>
  <r>
    <s v="3"/>
    <x v="2"/>
    <x v="138"/>
    <x v="138"/>
    <n v="7.96"/>
  </r>
  <r>
    <s v="3"/>
    <x v="2"/>
    <x v="139"/>
    <x v="139"/>
    <n v="7.77"/>
  </r>
  <r>
    <s v="3"/>
    <x v="2"/>
    <x v="140"/>
    <x v="140"/>
    <n v="6.85"/>
  </r>
  <r>
    <s v="3"/>
    <x v="2"/>
    <x v="141"/>
    <x v="141"/>
    <n v="5.74"/>
  </r>
  <r>
    <s v="3"/>
    <x v="2"/>
    <x v="142"/>
    <x v="142"/>
    <n v="5.42"/>
  </r>
  <r>
    <s v="3"/>
    <x v="2"/>
    <x v="143"/>
    <x v="143"/>
    <n v="4.8099999999999996"/>
  </r>
  <r>
    <s v="3"/>
    <x v="2"/>
    <x v="144"/>
    <x v="144"/>
    <n v="3.93"/>
  </r>
  <r>
    <s v="3"/>
    <x v="2"/>
    <x v="145"/>
    <x v="145"/>
    <n v="3.19"/>
  </r>
  <r>
    <s v="3"/>
    <x v="2"/>
    <x v="146"/>
    <x v="146"/>
    <n v="2.85"/>
  </r>
  <r>
    <s v="3"/>
    <x v="2"/>
    <x v="147"/>
    <x v="147"/>
    <n v="2.1"/>
  </r>
  <r>
    <s v="3"/>
    <x v="2"/>
    <x v="148"/>
    <x v="148"/>
    <n v="2.58"/>
  </r>
  <r>
    <s v="3"/>
    <x v="2"/>
    <x v="149"/>
    <x v="149"/>
    <n v="2.7"/>
  </r>
  <r>
    <s v="3"/>
    <x v="2"/>
    <x v="150"/>
    <x v="150"/>
    <n v="2.48"/>
  </r>
  <r>
    <s v="3"/>
    <x v="2"/>
    <x v="151"/>
    <x v="151"/>
    <n v="2.2200000000000002"/>
  </r>
  <r>
    <s v="3"/>
    <x v="2"/>
    <x v="152"/>
    <x v="152"/>
    <n v="2.35"/>
  </r>
  <r>
    <s v="3"/>
    <x v="2"/>
    <x v="153"/>
    <x v="153"/>
    <n v="2.37"/>
  </r>
  <r>
    <s v="3"/>
    <x v="2"/>
    <x v="154"/>
    <x v="154"/>
    <n v="2.2000000000000002"/>
  </r>
  <r>
    <s v="3"/>
    <x v="2"/>
    <x v="155"/>
    <x v="155"/>
    <n v="2.73"/>
  </r>
  <r>
    <s v="3"/>
    <x v="2"/>
    <x v="156"/>
    <x v="156"/>
    <n v="2.0499999999999998"/>
  </r>
  <r>
    <s v="3"/>
    <x v="2"/>
    <x v="157"/>
    <x v="157"/>
    <n v="2.2200000000000002"/>
  </r>
  <r>
    <s v="3"/>
    <x v="2"/>
    <x v="158"/>
    <x v="158"/>
    <n v="2.2799999999999998"/>
  </r>
  <r>
    <s v="3"/>
    <x v="2"/>
    <x v="159"/>
    <x v="159"/>
    <n v="2.69"/>
  </r>
  <r>
    <s v="3"/>
    <x v="2"/>
    <x v="160"/>
    <x v="160"/>
    <n v="2.68"/>
  </r>
  <r>
    <s v="3"/>
    <x v="2"/>
    <x v="161"/>
    <x v="161"/>
    <n v="2.48"/>
  </r>
  <r>
    <s v="3"/>
    <x v="2"/>
    <x v="162"/>
    <x v="162"/>
    <n v="2.59"/>
  </r>
  <r>
    <s v="3"/>
    <x v="2"/>
    <x v="163"/>
    <x v="163"/>
    <n v="1.96"/>
  </r>
  <r>
    <s v="3"/>
    <x v="2"/>
    <x v="164"/>
    <x v="164"/>
    <n v="2.58"/>
  </r>
  <r>
    <s v="3"/>
    <x v="2"/>
    <x v="165"/>
    <x v="165"/>
    <n v="2.86"/>
  </r>
  <r>
    <s v="3"/>
    <x v="2"/>
    <x v="166"/>
    <x v="166"/>
    <n v="3.58"/>
  </r>
  <r>
    <s v="3"/>
    <x v="2"/>
    <x v="167"/>
    <x v="167"/>
    <n v="4.03"/>
  </r>
  <r>
    <s v="3"/>
    <x v="2"/>
    <x v="168"/>
    <x v="168"/>
    <n v="4.3899999999999997"/>
  </r>
  <r>
    <s v="3"/>
    <x v="2"/>
    <x v="169"/>
    <x v="169"/>
    <n v="4.5599999999999996"/>
  </r>
  <r>
    <s v="3"/>
    <x v="2"/>
    <x v="170"/>
    <x v="170"/>
    <n v="4.22"/>
  </r>
  <r>
    <s v="3"/>
    <x v="2"/>
    <x v="171"/>
    <x v="171"/>
    <n v="4.29"/>
  </r>
  <r>
    <s v="3"/>
    <x v="2"/>
    <x v="172"/>
    <x v="172"/>
    <n v="3.77"/>
  </r>
  <r>
    <s v="3"/>
    <x v="2"/>
    <x v="173"/>
    <x v="173"/>
    <n v="3.65"/>
  </r>
  <r>
    <s v="3"/>
    <x v="2"/>
    <x v="174"/>
    <x v="174"/>
    <n v="3.67"/>
  </r>
  <r>
    <s v="3"/>
    <x v="2"/>
    <x v="175"/>
    <x v="175"/>
    <n v="3.61"/>
  </r>
  <r>
    <s v="3"/>
    <x v="2"/>
    <x v="176"/>
    <x v="176"/>
    <n v="3.92"/>
  </r>
  <r>
    <s v="3"/>
    <x v="2"/>
    <x v="177"/>
    <x v="177"/>
    <n v="3.65"/>
  </r>
  <r>
    <s v="3"/>
    <x v="2"/>
    <x v="178"/>
    <x v="178"/>
    <n v="3.33"/>
  </r>
  <r>
    <s v="3"/>
    <x v="2"/>
    <x v="179"/>
    <x v="179"/>
    <n v="3.22"/>
  </r>
  <r>
    <s v="3"/>
    <x v="2"/>
    <x v="180"/>
    <x v="180"/>
    <n v="2.59"/>
  </r>
  <r>
    <s v="3"/>
    <x v="2"/>
    <x v="181"/>
    <x v="181"/>
    <n v="2.68"/>
  </r>
  <r>
    <s v="3"/>
    <x v="2"/>
    <x v="182"/>
    <x v="182"/>
    <n v="2.31"/>
  </r>
  <r>
    <s v="3"/>
    <x v="2"/>
    <x v="183"/>
    <x v="183"/>
    <n v="1.96"/>
  </r>
  <r>
    <s v="3"/>
    <x v="2"/>
    <x v="184"/>
    <x v="184"/>
    <n v="2.0299999999999998"/>
  </r>
  <r>
    <s v="3"/>
    <x v="2"/>
    <x v="185"/>
    <x v="185"/>
    <n v="1.81"/>
  </r>
  <r>
    <s v="3"/>
    <x v="2"/>
    <x v="186"/>
    <x v="186"/>
    <n v="0.79"/>
  </r>
  <r>
    <s v="3"/>
    <x v="2"/>
    <x v="187"/>
    <x v="187"/>
    <n v="0.2"/>
  </r>
  <r>
    <s v="3"/>
    <x v="2"/>
    <x v="188"/>
    <x v="188"/>
    <n v="0.34"/>
  </r>
  <r>
    <s v="3"/>
    <x v="2"/>
    <x v="189"/>
    <x v="189"/>
    <n v="0.32"/>
  </r>
  <r>
    <s v="3"/>
    <x v="2"/>
    <x v="190"/>
    <x v="190"/>
    <n v="1.53"/>
  </r>
  <r>
    <s v="3"/>
    <x v="2"/>
    <x v="191"/>
    <x v="191"/>
    <n v="1.7"/>
  </r>
  <r>
    <s v="3"/>
    <x v="2"/>
    <x v="192"/>
    <x v="192"/>
    <n v="1.74"/>
  </r>
  <r>
    <s v="3"/>
    <x v="2"/>
    <x v="193"/>
    <x v="193"/>
    <n v="1.95"/>
  </r>
  <r>
    <s v="3"/>
    <x v="2"/>
    <x v="194"/>
    <x v="194"/>
    <n v="1.94"/>
  </r>
  <r>
    <s v="3"/>
    <x v="2"/>
    <x v="195"/>
    <x v="195"/>
    <n v="2.64"/>
  </r>
  <r>
    <s v="3"/>
    <x v="2"/>
    <x v="196"/>
    <x v="196"/>
    <n v="2.0699999999999998"/>
  </r>
  <r>
    <s v="3"/>
    <x v="2"/>
    <x v="197"/>
    <x v="197"/>
    <n v="1.67"/>
  </r>
  <r>
    <s v="3"/>
    <x v="2"/>
    <x v="198"/>
    <x v="198"/>
    <n v="1.45"/>
  </r>
  <r>
    <s v="3"/>
    <x v="2"/>
    <x v="199"/>
    <x v="199"/>
    <n v="0.68"/>
  </r>
  <r>
    <s v="3"/>
    <x v="2"/>
    <x v="200"/>
    <x v="200"/>
    <n v="0.66"/>
  </r>
  <r>
    <s v="3"/>
    <x v="2"/>
    <x v="201"/>
    <x v="201"/>
    <n v="0.38"/>
  </r>
  <r>
    <s v="3"/>
    <x v="2"/>
    <x v="202"/>
    <x v="202"/>
    <n v="0.09"/>
  </r>
  <r>
    <s v="3"/>
    <x v="2"/>
    <x v="203"/>
    <x v="203"/>
    <n v="0.14000000000000001"/>
  </r>
  <r>
    <s v="3"/>
    <x v="2"/>
    <x v="204"/>
    <x v="204"/>
    <n v="0.19"/>
  </r>
  <r>
    <s v="3"/>
    <x v="2"/>
    <x v="205"/>
    <x v="205"/>
    <n v="0.7"/>
  </r>
  <r>
    <s v="3"/>
    <x v="2"/>
    <x v="206"/>
    <x v="206"/>
    <n v="1.05"/>
  </r>
  <r>
    <s v="3"/>
    <x v="2"/>
    <x v="207"/>
    <x v="207"/>
    <n v="1.64"/>
  </r>
  <r>
    <s v="3"/>
    <x v="2"/>
    <x v="208"/>
    <x v="208"/>
    <n v="2.0299999999999998"/>
  </r>
  <r>
    <s v="3"/>
    <x v="2"/>
    <x v="209"/>
    <x v="209"/>
    <n v="1.58"/>
  </r>
  <r>
    <s v="3"/>
    <x v="2"/>
    <x v="210"/>
    <x v="210"/>
    <n v="1.48"/>
  </r>
  <r>
    <s v="3"/>
    <x v="2"/>
    <x v="211"/>
    <x v="211"/>
    <n v="1.5"/>
  </r>
  <r>
    <s v="3"/>
    <x v="2"/>
    <x v="212"/>
    <x v="212"/>
    <n v="1.03"/>
  </r>
  <r>
    <s v="3"/>
    <x v="2"/>
    <x v="213"/>
    <x v="213"/>
    <n v="1.33"/>
  </r>
  <r>
    <s v="3"/>
    <x v="2"/>
    <x v="214"/>
    <x v="214"/>
    <n v="1.58"/>
  </r>
  <r>
    <s v="3"/>
    <x v="2"/>
    <x v="215"/>
    <x v="215"/>
    <n v="1.2"/>
  </r>
  <r>
    <s v="3"/>
    <x v="2"/>
    <x v="216"/>
    <x v="216"/>
    <n v="1.52"/>
  </r>
  <r>
    <s v="3"/>
    <x v="2"/>
    <x v="217"/>
    <x v="217"/>
    <n v="1.6"/>
  </r>
  <r>
    <s v="3"/>
    <x v="2"/>
    <x v="218"/>
    <x v="218"/>
    <n v="1.53"/>
  </r>
  <r>
    <s v="3"/>
    <x v="2"/>
    <x v="219"/>
    <x v="219"/>
    <n v="0.96"/>
  </r>
  <r>
    <s v="3"/>
    <x v="2"/>
    <x v="220"/>
    <x v="220"/>
    <n v="0.42"/>
  </r>
  <r>
    <s v="3"/>
    <x v="2"/>
    <x v="221"/>
    <x v="221"/>
    <n v="0.2"/>
  </r>
  <r>
    <s v="3"/>
    <x v="2"/>
    <x v="222"/>
    <x v="222"/>
    <n v="-0.33"/>
  </r>
  <r>
    <s v="3"/>
    <x v="2"/>
    <x v="223"/>
    <x v="223"/>
    <n v="-0.02"/>
  </r>
  <r>
    <s v="3"/>
    <x v="2"/>
    <x v="224"/>
    <x v="224"/>
    <n v="7.0000000000000007E-2"/>
  </r>
  <r>
    <s v="3"/>
    <x v="2"/>
    <x v="225"/>
    <x v="225"/>
    <n v="-0.2"/>
  </r>
  <r>
    <s v="3"/>
    <x v="2"/>
    <x v="226"/>
    <x v="226"/>
    <n v="0.22"/>
  </r>
  <r>
    <s v="3"/>
    <x v="2"/>
    <x v="227"/>
    <x v="227"/>
    <n v="0.62"/>
  </r>
  <r>
    <s v="3"/>
    <x v="2"/>
    <x v="228"/>
    <x v="228"/>
    <n v="0.91"/>
  </r>
  <r>
    <s v="3"/>
    <x v="2"/>
    <x v="229"/>
    <x v="229"/>
    <n v="1.53"/>
  </r>
  <r>
    <s v="3"/>
    <x v="2"/>
    <x v="230"/>
    <x v="230"/>
    <n v="1.64"/>
  </r>
  <r>
    <s v="3"/>
    <x v="2"/>
    <x v="231"/>
    <x v="231"/>
    <n v="2.0299999999999998"/>
  </r>
  <r>
    <s v="3"/>
    <x v="2"/>
    <x v="232"/>
    <x v="232"/>
    <n v="2.6"/>
  </r>
  <r>
    <s v="3"/>
    <x v="2"/>
    <x v="233"/>
    <x v="233"/>
    <n v="2.54"/>
  </r>
  <r>
    <s v="3"/>
    <x v="2"/>
    <x v="234"/>
    <x v="234"/>
    <n v="2.66"/>
  </r>
  <r>
    <s v="3"/>
    <x v="2"/>
    <x v="235"/>
    <x v="235"/>
    <n v="1.75"/>
  </r>
  <r>
    <s v="3"/>
    <x v="2"/>
    <x v="236"/>
    <x v="236"/>
    <n v="1.63"/>
  </r>
  <r>
    <s v="3"/>
    <x v="2"/>
    <x v="237"/>
    <x v="237"/>
    <n v="1.66"/>
  </r>
  <r>
    <s v="3"/>
    <x v="2"/>
    <x v="238"/>
    <x v="238"/>
    <n v="1.1000000000000001"/>
  </r>
  <r>
    <s v="3"/>
    <x v="2"/>
    <x v="239"/>
    <x v="239"/>
    <n v="1.7"/>
  </r>
  <r>
    <s v="3"/>
    <x v="2"/>
    <x v="240"/>
    <x v="240"/>
    <n v="1.71"/>
  </r>
  <r>
    <s v="3"/>
    <x v="2"/>
    <x v="241"/>
    <x v="241"/>
    <n v="1.62"/>
  </r>
  <r>
    <s v="3"/>
    <x v="2"/>
    <x v="242"/>
    <x v="242"/>
    <n v="2.25"/>
  </r>
  <r>
    <s v="3"/>
    <x v="2"/>
    <x v="243"/>
    <x v="243"/>
    <n v="2.36"/>
  </r>
  <r>
    <s v="3"/>
    <x v="2"/>
    <x v="244"/>
    <x v="244"/>
    <n v="2.4900000000000002"/>
  </r>
  <r>
    <s v="3"/>
    <x v="2"/>
    <x v="245"/>
    <x v="245"/>
    <n v="3.02"/>
  </r>
  <r>
    <s v="3"/>
    <x v="2"/>
    <x v="246"/>
    <x v="246"/>
    <n v="3.64"/>
  </r>
  <r>
    <s v="3"/>
    <x v="2"/>
    <x v="247"/>
    <x v="247"/>
    <n v="4.49"/>
  </r>
  <r>
    <s v="3"/>
    <x v="2"/>
    <x v="248"/>
    <x v="248"/>
    <n v="3.83"/>
  </r>
  <r>
    <s v="3"/>
    <x v="2"/>
    <x v="249"/>
    <x v="249"/>
    <n v="3.13"/>
  </r>
  <r>
    <s v="3"/>
    <x v="2"/>
    <x v="250"/>
    <x v="250"/>
    <n v="2.06"/>
  </r>
  <r>
    <s v="3"/>
    <x v="2"/>
    <x v="251"/>
    <x v="251"/>
    <n v="0.78"/>
  </r>
  <r>
    <s v="3"/>
    <x v="2"/>
    <x v="252"/>
    <x v="252"/>
    <n v="0.99"/>
  </r>
  <r>
    <s v="3"/>
    <x v="2"/>
    <x v="253"/>
    <x v="253"/>
    <n v="1.0900000000000001"/>
  </r>
  <r>
    <s v="3"/>
    <x v="2"/>
    <x v="254"/>
    <x v="254"/>
    <n v="1.38"/>
  </r>
  <r>
    <s v="3"/>
    <x v="2"/>
    <x v="255"/>
    <x v="255"/>
    <n v="1.45"/>
  </r>
  <r>
    <s v="3"/>
    <x v="2"/>
    <x v="256"/>
    <x v="256"/>
    <n v="1.78"/>
  </r>
  <r>
    <s v="3"/>
    <x v="2"/>
    <x v="257"/>
    <x v="257"/>
    <n v="2.21"/>
  </r>
  <r>
    <s v="3"/>
    <x v="2"/>
    <x v="258"/>
    <x v="258"/>
    <n v="2.64"/>
  </r>
  <r>
    <s v="3"/>
    <x v="2"/>
    <x v="259"/>
    <x v="259"/>
    <n v="3.02"/>
  </r>
  <r>
    <s v="3"/>
    <x v="2"/>
    <x v="260"/>
    <x v="260"/>
    <n v="3"/>
  </r>
  <r>
    <s v="3"/>
    <x v="2"/>
    <x v="261"/>
    <x v="261"/>
    <n v="2.65"/>
  </r>
  <r>
    <s v="3"/>
    <x v="2"/>
    <x v="262"/>
    <x v="262"/>
    <n v="2.54"/>
  </r>
  <r>
    <s v="3"/>
    <x v="2"/>
    <x v="263"/>
    <x v="263"/>
    <n v="2.17"/>
  </r>
  <r>
    <s v="3"/>
    <x v="2"/>
    <x v="264"/>
    <x v="264"/>
    <n v="1.75"/>
  </r>
  <r>
    <s v="3"/>
    <x v="2"/>
    <x v="265"/>
    <x v="265"/>
    <n v="1.63"/>
  </r>
  <r>
    <s v="3"/>
    <x v="2"/>
    <x v="266"/>
    <x v="266"/>
    <n v="1.2"/>
  </r>
  <r>
    <s v="3"/>
    <x v="2"/>
    <x v="267"/>
    <x v="267"/>
    <n v="1.36"/>
  </r>
  <r>
    <s v="3"/>
    <x v="2"/>
    <x v="268"/>
    <x v="268"/>
    <n v="1.88"/>
  </r>
  <r>
    <s v="3"/>
    <x v="2"/>
    <x v="269"/>
    <x v="269"/>
    <n v="1.84"/>
  </r>
  <r>
    <s v="3"/>
    <x v="2"/>
    <x v="270"/>
    <x v="270"/>
    <n v="1.98"/>
  </r>
  <r>
    <s v="3"/>
    <x v="2"/>
    <x v="271"/>
    <x v="271"/>
    <n v="1.97"/>
  </r>
  <r>
    <s v="3"/>
    <x v="2"/>
    <x v="272"/>
    <x v="272"/>
    <n v="1.85"/>
  </r>
  <r>
    <s v="3"/>
    <x v="2"/>
    <x v="273"/>
    <x v="273"/>
    <n v="2.02"/>
  </r>
  <r>
    <s v="3"/>
    <x v="2"/>
    <x v="274"/>
    <x v="274"/>
    <n v="2.17"/>
  </r>
  <r>
    <s v="3"/>
    <x v="2"/>
    <x v="275"/>
    <x v="275"/>
    <n v="1.84"/>
  </r>
  <r>
    <s v="3"/>
    <x v="2"/>
    <x v="276"/>
    <x v="276"/>
    <n v="1.57"/>
  </r>
  <r>
    <s v="3"/>
    <x v="2"/>
    <x v="277"/>
    <x v="277"/>
    <n v="1.53"/>
  </r>
  <r>
    <s v="3"/>
    <x v="2"/>
    <x v="278"/>
    <x v="278"/>
    <n v="1.31"/>
  </r>
  <r>
    <s v="3"/>
    <x v="2"/>
    <x v="279"/>
    <x v="279"/>
    <n v="1.62"/>
  </r>
  <r>
    <s v="3"/>
    <x v="2"/>
    <x v="280"/>
    <x v="280"/>
    <n v="1.75"/>
  </r>
  <r>
    <s v="3"/>
    <x v="2"/>
    <x v="281"/>
    <x v="281"/>
    <n v="1.88"/>
  </r>
  <r>
    <s v="3"/>
    <x v="2"/>
    <x v="282"/>
    <x v="282"/>
    <n v="1.74"/>
  </r>
  <r>
    <s v="3"/>
    <x v="2"/>
    <x v="283"/>
    <x v="283"/>
    <n v="2.04"/>
  </r>
  <r>
    <s v="3"/>
    <x v="2"/>
    <x v="284"/>
    <x v="284"/>
    <n v="1.99"/>
  </r>
  <r>
    <s v="3"/>
    <x v="2"/>
    <x v="285"/>
    <x v="285"/>
    <n v="2.0299999999999998"/>
  </r>
  <r>
    <s v="3"/>
    <x v="2"/>
    <x v="286"/>
    <x v="286"/>
    <n v="2.5299999999999998"/>
  </r>
  <r>
    <s v="3"/>
    <x v="2"/>
    <x v="287"/>
    <x v="287"/>
    <n v="2.56"/>
  </r>
  <r>
    <s v="3"/>
    <x v="2"/>
    <x v="288"/>
    <x v="288"/>
    <n v="2.76"/>
  </r>
  <r>
    <s v="3"/>
    <x v="2"/>
    <x v="289"/>
    <x v="289"/>
    <n v="2.4300000000000002"/>
  </r>
  <r>
    <s v="3"/>
    <x v="2"/>
    <x v="290"/>
    <x v="290"/>
    <n v="1.96"/>
  </r>
  <r>
    <s v="3"/>
    <x v="2"/>
    <x v="291"/>
    <x v="291"/>
    <n v="1.56"/>
  </r>
  <r>
    <s v="3"/>
    <x v="2"/>
    <x v="292"/>
    <x v="292"/>
    <n v="1.1100000000000001"/>
  </r>
  <r>
    <s v="3"/>
    <x v="2"/>
    <x v="293"/>
    <x v="293"/>
    <n v="1.1100000000000001"/>
  </r>
  <r>
    <s v="3"/>
    <x v="2"/>
    <x v="294"/>
    <x v="294"/>
    <n v="1.1499999999999999"/>
  </r>
  <r>
    <s v="3"/>
    <x v="2"/>
    <x v="295"/>
    <x v="295"/>
    <n v="1.26"/>
  </r>
  <r>
    <s v="3"/>
    <x v="2"/>
    <x v="296"/>
    <x v="296"/>
    <n v="1.8"/>
  </r>
  <r>
    <s v="3"/>
    <x v="2"/>
    <x v="297"/>
    <x v="297"/>
    <n v="3.02"/>
  </r>
  <r>
    <s v="3"/>
    <x v="2"/>
    <x v="298"/>
    <x v="298"/>
    <n v="4.63"/>
  </r>
  <r>
    <s v="3"/>
    <x v="2"/>
    <x v="299"/>
    <x v="299"/>
    <n v="6.08"/>
  </r>
  <r>
    <s v="3"/>
    <x v="2"/>
    <x v="300"/>
    <x v="300"/>
    <n v="7.66"/>
  </r>
  <r>
    <s v="3"/>
    <x v="2"/>
    <x v="301"/>
    <x v="301"/>
    <n v="8.82"/>
  </r>
  <r>
    <s v="3"/>
    <x v="2"/>
    <x v="302"/>
    <x v="302"/>
    <n v="8.69"/>
  </r>
  <r>
    <s v="3"/>
    <x v="2"/>
    <x v="303"/>
    <x v="303"/>
    <n v="7.95"/>
  </r>
  <r>
    <s v="3"/>
    <x v="2"/>
    <x v="304"/>
    <x v="304"/>
    <n v="6.87"/>
  </r>
  <r>
    <s v="3"/>
    <x v="2"/>
    <x v="305"/>
    <x v="305"/>
    <n v="4.8600000000000003"/>
  </r>
  <r>
    <s v="3"/>
    <x v="2"/>
    <x v="306"/>
    <x v="306"/>
    <n v="3.62"/>
  </r>
  <r>
    <s v="3"/>
    <x v="2"/>
    <x v="307"/>
    <x v="307"/>
    <n v="2.9"/>
  </r>
  <r>
    <s v="3"/>
    <x v="2"/>
    <x v="308"/>
    <x v="308"/>
    <n v="2.2999999999999998"/>
  </r>
  <r>
    <s v="3"/>
    <x v="2"/>
    <x v="309"/>
    <x v="309"/>
    <n v="2.2799999999999998"/>
  </r>
  <r>
    <s v="3"/>
    <x v="2"/>
    <x v="310"/>
    <x v="310"/>
    <n v="2.34"/>
  </r>
  <r>
    <s v="3"/>
    <x v="2"/>
    <x v="311"/>
    <x v="311"/>
    <n v="2.5099999999999998"/>
  </r>
  <r>
    <s v="3"/>
    <x v="2"/>
    <x v="312"/>
    <x v="312"/>
    <n v="2.33"/>
  </r>
  <r>
    <s v="3"/>
    <x v="2"/>
    <x v="313"/>
    <x v="313"/>
    <n v="2.58"/>
  </r>
  <r>
    <s v="3"/>
    <x v="2"/>
    <x v="314"/>
    <x v="314"/>
    <n v="2.9"/>
  </r>
  <r>
    <s v="3"/>
    <x v="2"/>
    <x v="315"/>
    <x v="315"/>
    <n v="3.3"/>
  </r>
  <r>
    <s v="3"/>
    <x v="2"/>
    <x v="316"/>
    <x v="316"/>
    <n v="3.71"/>
  </r>
  <r>
    <s v="3"/>
    <x v="2"/>
    <x v="317"/>
    <x v="317"/>
    <n v="3.77"/>
  </r>
  <r>
    <s v="4"/>
    <x v="3"/>
    <x v="30"/>
    <x v="30"/>
    <m/>
  </r>
  <r>
    <s v="4"/>
    <x v="3"/>
    <x v="31"/>
    <x v="31"/>
    <m/>
  </r>
  <r>
    <s v="4"/>
    <x v="3"/>
    <x v="32"/>
    <x v="32"/>
    <m/>
  </r>
  <r>
    <s v="4"/>
    <x v="3"/>
    <x v="33"/>
    <x v="33"/>
    <m/>
  </r>
  <r>
    <s v="4"/>
    <x v="3"/>
    <x v="34"/>
    <x v="34"/>
    <n v="88.35"/>
  </r>
  <r>
    <s v="4"/>
    <x v="3"/>
    <x v="35"/>
    <x v="35"/>
    <n v="138.80000000000001"/>
  </r>
  <r>
    <s v="4"/>
    <x v="3"/>
    <x v="36"/>
    <x v="36"/>
    <n v="84.88"/>
  </r>
  <r>
    <s v="4"/>
    <x v="3"/>
    <x v="37"/>
    <x v="37"/>
    <n v="79.53"/>
  </r>
  <r>
    <s v="4"/>
    <x v="3"/>
    <x v="38"/>
    <x v="38"/>
    <n v="44.85"/>
  </r>
  <r>
    <s v="4"/>
    <x v="3"/>
    <x v="39"/>
    <x v="39"/>
    <n v="24.18"/>
  </r>
  <r>
    <s v="4"/>
    <x v="3"/>
    <x v="40"/>
    <x v="40"/>
    <n v="18.12"/>
  </r>
  <r>
    <s v="4"/>
    <x v="3"/>
    <x v="41"/>
    <x v="41"/>
    <n v="11.4"/>
  </r>
  <r>
    <s v="4"/>
    <x v="3"/>
    <x v="42"/>
    <x v="42"/>
    <n v="15.05"/>
  </r>
  <r>
    <s v="4"/>
    <x v="3"/>
    <x v="43"/>
    <x v="43"/>
    <n v="11.14"/>
  </r>
  <r>
    <s v="4"/>
    <x v="3"/>
    <x v="44"/>
    <x v="44"/>
    <n v="-36.479999999999997"/>
  </r>
  <r>
    <s v="4"/>
    <x v="3"/>
    <x v="45"/>
    <x v="45"/>
    <n v="-68.67"/>
  </r>
  <r>
    <s v="4"/>
    <x v="3"/>
    <x v="46"/>
    <x v="46"/>
    <n v="-59.08"/>
  </r>
  <r>
    <s v="4"/>
    <x v="3"/>
    <x v="47"/>
    <x v="47"/>
    <n v="-33.51"/>
  </r>
  <r>
    <s v="4"/>
    <x v="3"/>
    <x v="48"/>
    <x v="48"/>
    <n v="37.950000000000003"/>
  </r>
  <r>
    <s v="4"/>
    <x v="3"/>
    <x v="49"/>
    <x v="49"/>
    <n v="227.98"/>
  </r>
  <r>
    <s v="4"/>
    <x v="3"/>
    <x v="50"/>
    <x v="50"/>
    <n v="170.37"/>
  </r>
  <r>
    <s v="4"/>
    <x v="3"/>
    <x v="51"/>
    <x v="51"/>
    <n v="84.47"/>
  </r>
  <r>
    <s v="4"/>
    <x v="3"/>
    <x v="52"/>
    <x v="52"/>
    <n v="53.04"/>
  </r>
  <r>
    <s v="4"/>
    <x v="3"/>
    <x v="53"/>
    <x v="53"/>
    <n v="19.920000000000002"/>
  </r>
  <r>
    <s v="4"/>
    <x v="3"/>
    <x v="54"/>
    <x v="54"/>
    <n v="-17.89"/>
  </r>
  <r>
    <s v="4"/>
    <x v="3"/>
    <x v="55"/>
    <x v="55"/>
    <n v="-42.43"/>
  </r>
  <r>
    <s v="4"/>
    <x v="3"/>
    <x v="56"/>
    <x v="56"/>
    <n v="-49.07"/>
  </r>
  <r>
    <s v="4"/>
    <x v="3"/>
    <x v="57"/>
    <x v="57"/>
    <n v="-53.12"/>
  </r>
  <r>
    <s v="4"/>
    <x v="3"/>
    <x v="58"/>
    <x v="58"/>
    <n v="-42.7"/>
  </r>
  <r>
    <s v="4"/>
    <x v="3"/>
    <x v="59"/>
    <x v="59"/>
    <n v="4.4800000000000004"/>
  </r>
  <r>
    <s v="4"/>
    <x v="3"/>
    <x v="60"/>
    <x v="60"/>
    <n v="22.67"/>
  </r>
  <r>
    <s v="4"/>
    <x v="3"/>
    <x v="61"/>
    <x v="61"/>
    <n v="50.43"/>
  </r>
  <r>
    <s v="4"/>
    <x v="3"/>
    <x v="62"/>
    <x v="62"/>
    <n v="69.16"/>
  </r>
  <r>
    <s v="4"/>
    <x v="3"/>
    <x v="63"/>
    <x v="63"/>
    <n v="21.79"/>
  </r>
  <r>
    <s v="4"/>
    <x v="3"/>
    <x v="64"/>
    <x v="64"/>
    <n v="20.76"/>
  </r>
  <r>
    <s v="4"/>
    <x v="3"/>
    <x v="65"/>
    <x v="65"/>
    <n v="13.66"/>
  </r>
  <r>
    <s v="4"/>
    <x v="3"/>
    <x v="66"/>
    <x v="66"/>
    <n v="16.97"/>
  </r>
  <r>
    <s v="4"/>
    <x v="3"/>
    <x v="67"/>
    <x v="67"/>
    <n v="18.13"/>
  </r>
  <r>
    <s v="4"/>
    <x v="3"/>
    <x v="68"/>
    <x v="68"/>
    <n v="16.72"/>
  </r>
  <r>
    <s v="4"/>
    <x v="3"/>
    <x v="69"/>
    <x v="69"/>
    <n v="17.79"/>
  </r>
  <r>
    <s v="4"/>
    <x v="3"/>
    <x v="70"/>
    <x v="70"/>
    <n v="3.81"/>
  </r>
  <r>
    <s v="4"/>
    <x v="3"/>
    <x v="71"/>
    <x v="71"/>
    <n v="3.59"/>
  </r>
  <r>
    <s v="4"/>
    <x v="3"/>
    <x v="72"/>
    <x v="72"/>
    <n v="14.84"/>
  </r>
  <r>
    <s v="4"/>
    <x v="3"/>
    <x v="73"/>
    <x v="73"/>
    <n v="16.91"/>
  </r>
  <r>
    <s v="4"/>
    <x v="3"/>
    <x v="74"/>
    <x v="74"/>
    <n v="17.93"/>
  </r>
  <r>
    <s v="4"/>
    <x v="3"/>
    <x v="75"/>
    <x v="75"/>
    <n v="16.489999999999998"/>
  </r>
  <r>
    <s v="4"/>
    <x v="3"/>
    <x v="76"/>
    <x v="76"/>
    <n v="14.66"/>
  </r>
  <r>
    <s v="4"/>
    <x v="3"/>
    <x v="77"/>
    <x v="77"/>
    <n v="20.420000000000002"/>
  </r>
  <r>
    <s v="4"/>
    <x v="3"/>
    <x v="78"/>
    <x v="78"/>
    <n v="32.700000000000003"/>
  </r>
  <r>
    <s v="4"/>
    <x v="3"/>
    <x v="79"/>
    <x v="79"/>
    <n v="33.5"/>
  </r>
  <r>
    <s v="4"/>
    <x v="3"/>
    <x v="80"/>
    <x v="80"/>
    <n v="5.77"/>
  </r>
  <r>
    <s v="4"/>
    <x v="3"/>
    <x v="81"/>
    <x v="81"/>
    <n v="-18.79"/>
  </r>
  <r>
    <s v="4"/>
    <x v="3"/>
    <x v="82"/>
    <x v="82"/>
    <n v="-28.04"/>
  </r>
  <r>
    <s v="4"/>
    <x v="3"/>
    <x v="83"/>
    <x v="83"/>
    <n v="-24.99"/>
  </r>
  <r>
    <s v="4"/>
    <x v="3"/>
    <x v="84"/>
    <x v="84"/>
    <n v="-0.68"/>
  </r>
  <r>
    <s v="4"/>
    <x v="3"/>
    <x v="85"/>
    <x v="85"/>
    <n v="49.95"/>
  </r>
  <r>
    <s v="4"/>
    <x v="3"/>
    <x v="86"/>
    <x v="86"/>
    <n v="52.76"/>
  </r>
  <r>
    <s v="4"/>
    <x v="3"/>
    <x v="87"/>
    <x v="87"/>
    <n v="41.79"/>
  </r>
  <r>
    <s v="4"/>
    <x v="3"/>
    <x v="88"/>
    <x v="88"/>
    <n v="37.1"/>
  </r>
  <r>
    <s v="4"/>
    <x v="3"/>
    <x v="89"/>
    <x v="89"/>
    <n v="39.18"/>
  </r>
  <r>
    <s v="4"/>
    <x v="3"/>
    <x v="90"/>
    <x v="90"/>
    <n v="51.05"/>
  </r>
  <r>
    <s v="4"/>
    <x v="3"/>
    <x v="91"/>
    <x v="91"/>
    <n v="51.09"/>
  </r>
  <r>
    <s v="4"/>
    <x v="3"/>
    <x v="92"/>
    <x v="92"/>
    <n v="30.55"/>
  </r>
  <r>
    <s v="4"/>
    <x v="3"/>
    <x v="93"/>
    <x v="93"/>
    <n v="-5.28"/>
  </r>
  <r>
    <s v="4"/>
    <x v="3"/>
    <x v="94"/>
    <x v="94"/>
    <n v="-25.34"/>
  </r>
  <r>
    <s v="4"/>
    <x v="3"/>
    <x v="95"/>
    <x v="95"/>
    <n v="-37.729999999999997"/>
  </r>
  <r>
    <s v="4"/>
    <x v="3"/>
    <x v="96"/>
    <x v="96"/>
    <n v="-55.01"/>
  </r>
  <r>
    <s v="4"/>
    <x v="3"/>
    <x v="97"/>
    <x v="97"/>
    <n v="-42.09"/>
  </r>
  <r>
    <s v="4"/>
    <x v="3"/>
    <x v="98"/>
    <x v="98"/>
    <n v="-18.34"/>
  </r>
  <r>
    <s v="4"/>
    <x v="3"/>
    <x v="99"/>
    <x v="99"/>
    <n v="-14.68"/>
  </r>
  <r>
    <s v="4"/>
    <x v="3"/>
    <x v="100"/>
    <x v="100"/>
    <n v="-8.0399999999999991"/>
  </r>
  <r>
    <s v="4"/>
    <x v="3"/>
    <x v="101"/>
    <x v="101"/>
    <n v="-5.85"/>
  </r>
  <r>
    <s v="4"/>
    <x v="3"/>
    <x v="102"/>
    <x v="102"/>
    <n v="-13.4"/>
  </r>
  <r>
    <s v="4"/>
    <x v="3"/>
    <x v="103"/>
    <x v="103"/>
    <n v="8.36"/>
  </r>
  <r>
    <s v="4"/>
    <x v="3"/>
    <x v="104"/>
    <x v="104"/>
    <n v="84.3"/>
  </r>
  <r>
    <s v="4"/>
    <x v="3"/>
    <x v="105"/>
    <x v="105"/>
    <n v="81.790000000000006"/>
  </r>
  <r>
    <s v="4"/>
    <x v="3"/>
    <x v="106"/>
    <x v="106"/>
    <n v="122.64"/>
  </r>
  <r>
    <s v="4"/>
    <x v="3"/>
    <x v="107"/>
    <x v="107"/>
    <n v="94.23"/>
  </r>
  <r>
    <s v="4"/>
    <x v="3"/>
    <x v="108"/>
    <x v="108"/>
    <n v="42.62"/>
  </r>
  <r>
    <s v="4"/>
    <x v="3"/>
    <x v="109"/>
    <x v="109"/>
    <n v="43.92"/>
  </r>
  <r>
    <s v="4"/>
    <x v="3"/>
    <x v="110"/>
    <x v="110"/>
    <n v="14.49"/>
  </r>
  <r>
    <s v="4"/>
    <x v="3"/>
    <x v="111"/>
    <x v="111"/>
    <n v="-6.5"/>
  </r>
  <r>
    <s v="4"/>
    <x v="3"/>
    <x v="112"/>
    <x v="112"/>
    <n v="-32.39"/>
  </r>
  <r>
    <s v="4"/>
    <x v="3"/>
    <x v="113"/>
    <x v="113"/>
    <n v="-51.82"/>
  </r>
  <r>
    <s v="4"/>
    <x v="3"/>
    <x v="114"/>
    <x v="114"/>
    <n v="-49.05"/>
  </r>
  <r>
    <s v="4"/>
    <x v="3"/>
    <x v="115"/>
    <x v="115"/>
    <n v="-42.09"/>
  </r>
  <r>
    <s v="4"/>
    <x v="3"/>
    <x v="116"/>
    <x v="116"/>
    <n v="-23.42"/>
  </r>
  <r>
    <s v="4"/>
    <x v="3"/>
    <x v="117"/>
    <x v="117"/>
    <n v="-4.1100000000000003"/>
  </r>
  <r>
    <s v="4"/>
    <x v="3"/>
    <x v="118"/>
    <x v="118"/>
    <n v="-14.24"/>
  </r>
  <r>
    <s v="4"/>
    <x v="3"/>
    <x v="119"/>
    <x v="119"/>
    <n v="-9.98"/>
  </r>
  <r>
    <s v="4"/>
    <x v="3"/>
    <x v="120"/>
    <x v="120"/>
    <n v="-3.46"/>
  </r>
  <r>
    <s v="4"/>
    <x v="3"/>
    <x v="121"/>
    <x v="121"/>
    <n v="-0.77"/>
  </r>
  <r>
    <s v="4"/>
    <x v="3"/>
    <x v="122"/>
    <x v="122"/>
    <n v="10.16"/>
  </r>
  <r>
    <s v="4"/>
    <x v="3"/>
    <x v="123"/>
    <x v="123"/>
    <n v="33.65"/>
  </r>
  <r>
    <s v="4"/>
    <x v="3"/>
    <x v="124"/>
    <x v="124"/>
    <n v="45"/>
  </r>
  <r>
    <s v="4"/>
    <x v="3"/>
    <x v="125"/>
    <x v="125"/>
    <n v="41.23"/>
  </r>
  <r>
    <s v="4"/>
    <x v="3"/>
    <x v="126"/>
    <x v="126"/>
    <n v="39.18"/>
  </r>
  <r>
    <s v="4"/>
    <x v="3"/>
    <x v="127"/>
    <x v="127"/>
    <n v="47.14"/>
  </r>
  <r>
    <s v="4"/>
    <x v="3"/>
    <x v="128"/>
    <x v="128"/>
    <n v="49.08"/>
  </r>
  <r>
    <s v="4"/>
    <x v="3"/>
    <x v="129"/>
    <x v="129"/>
    <n v="39.78"/>
  </r>
  <r>
    <s v="4"/>
    <x v="3"/>
    <x v="130"/>
    <x v="130"/>
    <n v="35.15"/>
  </r>
  <r>
    <s v="4"/>
    <x v="3"/>
    <x v="131"/>
    <x v="131"/>
    <n v="41.68"/>
  </r>
  <r>
    <s v="4"/>
    <x v="3"/>
    <x v="132"/>
    <x v="132"/>
    <n v="49.38"/>
  </r>
  <r>
    <s v="4"/>
    <x v="3"/>
    <x v="133"/>
    <x v="133"/>
    <n v="24.63"/>
  </r>
  <r>
    <s v="4"/>
    <x v="3"/>
    <x v="134"/>
    <x v="134"/>
    <n v="-10.14"/>
  </r>
  <r>
    <s v="4"/>
    <x v="3"/>
    <x v="135"/>
    <x v="135"/>
    <n v="16.760000000000002"/>
  </r>
  <r>
    <s v="4"/>
    <x v="3"/>
    <x v="136"/>
    <x v="136"/>
    <n v="10.119999999999999"/>
  </r>
  <r>
    <s v="4"/>
    <x v="3"/>
    <x v="137"/>
    <x v="137"/>
    <n v="40.14"/>
  </r>
  <r>
    <s v="4"/>
    <x v="3"/>
    <x v="138"/>
    <x v="138"/>
    <n v="78.680000000000007"/>
  </r>
  <r>
    <s v="4"/>
    <x v="3"/>
    <x v="139"/>
    <x v="139"/>
    <n v="-14.29"/>
  </r>
  <r>
    <s v="4"/>
    <x v="3"/>
    <x v="140"/>
    <x v="140"/>
    <n v="-14.14"/>
  </r>
  <r>
    <s v="4"/>
    <x v="3"/>
    <x v="141"/>
    <x v="141"/>
    <n v="-18.37"/>
  </r>
  <r>
    <s v="4"/>
    <x v="3"/>
    <x v="142"/>
    <x v="142"/>
    <n v="-37.380000000000003"/>
  </r>
  <r>
    <s v="4"/>
    <x v="3"/>
    <x v="143"/>
    <x v="143"/>
    <n v="-31.65"/>
  </r>
  <r>
    <s v="4"/>
    <x v="3"/>
    <x v="144"/>
    <x v="144"/>
    <n v="-39.18"/>
  </r>
  <r>
    <s v="4"/>
    <x v="3"/>
    <x v="145"/>
    <x v="145"/>
    <n v="-39.340000000000003"/>
  </r>
  <r>
    <s v="4"/>
    <x v="3"/>
    <x v="146"/>
    <x v="146"/>
    <n v="-14.05"/>
  </r>
  <r>
    <s v="4"/>
    <x v="3"/>
    <x v="147"/>
    <x v="147"/>
    <n v="1.54"/>
  </r>
  <r>
    <s v="4"/>
    <x v="3"/>
    <x v="148"/>
    <x v="148"/>
    <n v="11.95"/>
  </r>
  <r>
    <s v="4"/>
    <x v="3"/>
    <x v="149"/>
    <x v="149"/>
    <n v="19.93"/>
  </r>
  <r>
    <s v="4"/>
    <x v="3"/>
    <x v="150"/>
    <x v="150"/>
    <n v="20.399999999999999"/>
  </r>
  <r>
    <s v="4"/>
    <x v="3"/>
    <x v="151"/>
    <x v="151"/>
    <n v="-1.73"/>
  </r>
  <r>
    <s v="4"/>
    <x v="3"/>
    <x v="152"/>
    <x v="152"/>
    <n v="-12.49"/>
  </r>
  <r>
    <s v="4"/>
    <x v="3"/>
    <x v="153"/>
    <x v="153"/>
    <n v="-24.95"/>
  </r>
  <r>
    <s v="4"/>
    <x v="3"/>
    <x v="154"/>
    <x v="154"/>
    <n v="-30.64"/>
  </r>
  <r>
    <s v="4"/>
    <x v="3"/>
    <x v="155"/>
    <x v="155"/>
    <n v="-12.56"/>
  </r>
  <r>
    <s v="4"/>
    <x v="3"/>
    <x v="156"/>
    <x v="156"/>
    <n v="-7.67"/>
  </r>
  <r>
    <s v="4"/>
    <x v="3"/>
    <x v="157"/>
    <x v="157"/>
    <n v="-12.66"/>
  </r>
  <r>
    <s v="4"/>
    <x v="3"/>
    <x v="158"/>
    <x v="158"/>
    <n v="-21.43"/>
  </r>
  <r>
    <s v="4"/>
    <x v="3"/>
    <x v="159"/>
    <x v="159"/>
    <n v="-22.66"/>
  </r>
  <r>
    <s v="4"/>
    <x v="3"/>
    <x v="160"/>
    <x v="160"/>
    <n v="-20.53"/>
  </r>
  <r>
    <s v="4"/>
    <x v="3"/>
    <x v="161"/>
    <x v="161"/>
    <n v="-3.9"/>
  </r>
  <r>
    <s v="4"/>
    <x v="3"/>
    <x v="162"/>
    <x v="162"/>
    <n v="10.25"/>
  </r>
  <r>
    <s v="4"/>
    <x v="3"/>
    <x v="163"/>
    <x v="163"/>
    <n v="10.37"/>
  </r>
  <r>
    <s v="4"/>
    <x v="3"/>
    <x v="164"/>
    <x v="164"/>
    <n v="7.12"/>
  </r>
  <r>
    <s v="4"/>
    <x v="3"/>
    <x v="165"/>
    <x v="165"/>
    <n v="7.62"/>
  </r>
  <r>
    <s v="4"/>
    <x v="3"/>
    <x v="166"/>
    <x v="166"/>
    <n v="16.66"/>
  </r>
  <r>
    <s v="4"/>
    <x v="3"/>
    <x v="167"/>
    <x v="167"/>
    <n v="22.45"/>
  </r>
  <r>
    <s v="4"/>
    <x v="3"/>
    <x v="168"/>
    <x v="168"/>
    <n v="41.72"/>
  </r>
  <r>
    <s v="4"/>
    <x v="3"/>
    <x v="169"/>
    <x v="169"/>
    <n v="35.909999999999997"/>
  </r>
  <r>
    <s v="4"/>
    <x v="3"/>
    <x v="170"/>
    <x v="170"/>
    <n v="13.78"/>
  </r>
  <r>
    <s v="4"/>
    <x v="3"/>
    <x v="171"/>
    <x v="171"/>
    <n v="1.69"/>
  </r>
  <r>
    <s v="4"/>
    <x v="3"/>
    <x v="172"/>
    <x v="172"/>
    <n v="-12.63"/>
  </r>
  <r>
    <s v="4"/>
    <x v="3"/>
    <x v="173"/>
    <x v="173"/>
    <n v="-15.26"/>
  </r>
  <r>
    <s v="4"/>
    <x v="3"/>
    <x v="174"/>
    <x v="174"/>
    <n v="-10.16"/>
  </r>
  <r>
    <s v="4"/>
    <x v="3"/>
    <x v="175"/>
    <x v="175"/>
    <n v="-10.1"/>
  </r>
  <r>
    <s v="4"/>
    <x v="3"/>
    <x v="176"/>
    <x v="176"/>
    <n v="-22.1"/>
  </r>
  <r>
    <s v="4"/>
    <x v="3"/>
    <x v="177"/>
    <x v="177"/>
    <n v="-28.87"/>
  </r>
  <r>
    <s v="4"/>
    <x v="3"/>
    <x v="178"/>
    <x v="178"/>
    <n v="-30.85"/>
  </r>
  <r>
    <s v="4"/>
    <x v="3"/>
    <x v="179"/>
    <x v="179"/>
    <n v="-37.79"/>
  </r>
  <r>
    <s v="4"/>
    <x v="3"/>
    <x v="180"/>
    <x v="180"/>
    <n v="-37.4"/>
  </r>
  <r>
    <s v="4"/>
    <x v="3"/>
    <x v="181"/>
    <x v="181"/>
    <n v="-35.700000000000003"/>
  </r>
  <r>
    <s v="4"/>
    <x v="3"/>
    <x v="182"/>
    <x v="182"/>
    <n v="-42.28"/>
  </r>
  <r>
    <s v="4"/>
    <x v="3"/>
    <x v="183"/>
    <x v="183"/>
    <n v="-36.950000000000003"/>
  </r>
  <r>
    <s v="4"/>
    <x v="3"/>
    <x v="184"/>
    <x v="184"/>
    <n v="-24.43"/>
  </r>
  <r>
    <s v="4"/>
    <x v="3"/>
    <x v="185"/>
    <x v="185"/>
    <n v="-20.420000000000002"/>
  </r>
  <r>
    <s v="4"/>
    <x v="3"/>
    <x v="186"/>
    <x v="186"/>
    <n v="-6.05"/>
  </r>
  <r>
    <s v="4"/>
    <x v="3"/>
    <x v="187"/>
    <x v="187"/>
    <n v="-1.55"/>
  </r>
  <r>
    <s v="4"/>
    <x v="3"/>
    <x v="188"/>
    <x v="188"/>
    <n v="5.69"/>
  </r>
  <r>
    <s v="4"/>
    <x v="3"/>
    <x v="189"/>
    <x v="189"/>
    <n v="31.33"/>
  </r>
  <r>
    <s v="4"/>
    <x v="3"/>
    <x v="190"/>
    <x v="190"/>
    <n v="46.63"/>
  </r>
  <r>
    <s v="4"/>
    <x v="3"/>
    <x v="191"/>
    <x v="191"/>
    <n v="72.81"/>
  </r>
  <r>
    <s v="4"/>
    <x v="3"/>
    <x v="192"/>
    <x v="192"/>
    <n v="80.83"/>
  </r>
  <r>
    <s v="4"/>
    <x v="3"/>
    <x v="193"/>
    <x v="193"/>
    <n v="52.79"/>
  </r>
  <r>
    <s v="4"/>
    <x v="3"/>
    <x v="194"/>
    <x v="194"/>
    <n v="29.2"/>
  </r>
  <r>
    <s v="4"/>
    <x v="3"/>
    <x v="195"/>
    <x v="195"/>
    <n v="10.7"/>
  </r>
  <r>
    <s v="4"/>
    <x v="3"/>
    <x v="196"/>
    <x v="196"/>
    <n v="-7.69"/>
  </r>
  <r>
    <s v="4"/>
    <x v="3"/>
    <x v="197"/>
    <x v="197"/>
    <n v="-12.91"/>
  </r>
  <r>
    <s v="4"/>
    <x v="3"/>
    <x v="198"/>
    <x v="198"/>
    <n v="-8.4499999999999993"/>
  </r>
  <r>
    <s v="4"/>
    <x v="3"/>
    <x v="199"/>
    <x v="199"/>
    <n v="-7.69"/>
  </r>
  <r>
    <s v="4"/>
    <x v="3"/>
    <x v="200"/>
    <x v="200"/>
    <n v="-1.6"/>
  </r>
  <r>
    <s v="4"/>
    <x v="3"/>
    <x v="201"/>
    <x v="201"/>
    <n v="5.34"/>
  </r>
  <r>
    <s v="4"/>
    <x v="3"/>
    <x v="202"/>
    <x v="202"/>
    <n v="4.26"/>
  </r>
  <r>
    <s v="4"/>
    <x v="3"/>
    <x v="203"/>
    <x v="203"/>
    <n v="4.3"/>
  </r>
  <r>
    <s v="4"/>
    <x v="3"/>
    <x v="204"/>
    <x v="204"/>
    <n v="4.5999999999999996"/>
  </r>
  <r>
    <s v="4"/>
    <x v="3"/>
    <x v="205"/>
    <x v="205"/>
    <n v="-0.42"/>
  </r>
  <r>
    <s v="4"/>
    <x v="3"/>
    <x v="206"/>
    <x v="206"/>
    <n v="0"/>
  </r>
  <r>
    <s v="4"/>
    <x v="3"/>
    <x v="207"/>
    <x v="207"/>
    <n v="-11.75"/>
  </r>
  <r>
    <s v="4"/>
    <x v="3"/>
    <x v="208"/>
    <x v="208"/>
    <n v="-14.26"/>
  </r>
  <r>
    <s v="4"/>
    <x v="3"/>
    <x v="209"/>
    <x v="209"/>
    <n v="-13.69"/>
  </r>
  <r>
    <s v="4"/>
    <x v="3"/>
    <x v="210"/>
    <x v="210"/>
    <n v="-7.95"/>
  </r>
  <r>
    <s v="4"/>
    <x v="3"/>
    <x v="211"/>
    <x v="211"/>
    <n v="9.1999999999999993"/>
  </r>
  <r>
    <s v="4"/>
    <x v="3"/>
    <x v="212"/>
    <x v="212"/>
    <n v="19.95"/>
  </r>
  <r>
    <s v="4"/>
    <x v="3"/>
    <x v="213"/>
    <x v="213"/>
    <n v="32.15"/>
  </r>
  <r>
    <s v="4"/>
    <x v="3"/>
    <x v="214"/>
    <x v="214"/>
    <n v="28.02"/>
  </r>
  <r>
    <s v="4"/>
    <x v="3"/>
    <x v="215"/>
    <x v="215"/>
    <n v="21.97"/>
  </r>
  <r>
    <s v="4"/>
    <x v="3"/>
    <x v="216"/>
    <x v="216"/>
    <n v="-1.48"/>
  </r>
  <r>
    <s v="4"/>
    <x v="3"/>
    <x v="217"/>
    <x v="217"/>
    <n v="-31.02"/>
  </r>
  <r>
    <s v="4"/>
    <x v="3"/>
    <x v="218"/>
    <x v="218"/>
    <n v="-46.37"/>
  </r>
  <r>
    <s v="4"/>
    <x v="3"/>
    <x v="219"/>
    <x v="219"/>
    <n v="-67.05"/>
  </r>
  <r>
    <s v="4"/>
    <x v="3"/>
    <x v="220"/>
    <x v="220"/>
    <n v="-69.010000000000005"/>
  </r>
  <r>
    <s v="4"/>
    <x v="3"/>
    <x v="221"/>
    <x v="221"/>
    <n v="-59.56"/>
  </r>
  <r>
    <s v="4"/>
    <x v="3"/>
    <x v="222"/>
    <x v="222"/>
    <n v="-50.24"/>
  </r>
  <r>
    <s v="4"/>
    <x v="3"/>
    <x v="223"/>
    <x v="223"/>
    <n v="-32.35"/>
  </r>
  <r>
    <s v="4"/>
    <x v="3"/>
    <x v="224"/>
    <x v="224"/>
    <n v="-27.87"/>
  </r>
  <r>
    <s v="4"/>
    <x v="3"/>
    <x v="225"/>
    <x v="225"/>
    <n v="-28.74"/>
  </r>
  <r>
    <s v="4"/>
    <x v="3"/>
    <x v="226"/>
    <x v="226"/>
    <n v="-41.55"/>
  </r>
  <r>
    <s v="4"/>
    <x v="3"/>
    <x v="227"/>
    <x v="227"/>
    <n v="-30.91"/>
  </r>
  <r>
    <s v="4"/>
    <x v="3"/>
    <x v="228"/>
    <x v="228"/>
    <n v="-19.760000000000002"/>
  </r>
  <r>
    <s v="4"/>
    <x v="3"/>
    <x v="229"/>
    <x v="229"/>
    <n v="-19.010000000000002"/>
  </r>
  <r>
    <s v="4"/>
    <x v="3"/>
    <x v="230"/>
    <x v="230"/>
    <n v="40.9"/>
  </r>
  <r>
    <s v="4"/>
    <x v="3"/>
    <x v="231"/>
    <x v="231"/>
    <n v="95.59"/>
  </r>
  <r>
    <s v="4"/>
    <x v="3"/>
    <x v="232"/>
    <x v="232"/>
    <n v="146.26"/>
  </r>
  <r>
    <s v="4"/>
    <x v="3"/>
    <x v="233"/>
    <x v="233"/>
    <n v="191.39"/>
  </r>
  <r>
    <s v="4"/>
    <x v="3"/>
    <x v="234"/>
    <x v="234"/>
    <n v="141.44999999999999"/>
  </r>
  <r>
    <s v="4"/>
    <x v="3"/>
    <x v="235"/>
    <x v="235"/>
    <n v="104.1"/>
  </r>
  <r>
    <s v="4"/>
    <x v="3"/>
    <x v="236"/>
    <x v="236"/>
    <n v="80.45"/>
  </r>
  <r>
    <s v="4"/>
    <x v="3"/>
    <x v="237"/>
    <x v="237"/>
    <n v="66.73"/>
  </r>
  <r>
    <s v="4"/>
    <x v="3"/>
    <x v="238"/>
    <x v="238"/>
    <n v="51.65"/>
  </r>
  <r>
    <s v="4"/>
    <x v="3"/>
    <x v="239"/>
    <x v="239"/>
    <n v="31.83"/>
  </r>
  <r>
    <s v="4"/>
    <x v="3"/>
    <x v="240"/>
    <x v="240"/>
    <n v="17.95"/>
  </r>
  <r>
    <s v="4"/>
    <x v="3"/>
    <x v="241"/>
    <x v="241"/>
    <n v="6.99"/>
  </r>
  <r>
    <s v="4"/>
    <x v="3"/>
    <x v="242"/>
    <x v="242"/>
    <n v="-3.32"/>
  </r>
  <r>
    <s v="4"/>
    <x v="3"/>
    <x v="243"/>
    <x v="243"/>
    <n v="-14.29"/>
  </r>
  <r>
    <s v="4"/>
    <x v="3"/>
    <x v="244"/>
    <x v="244"/>
    <n v="-39.57"/>
  </r>
  <r>
    <s v="4"/>
    <x v="3"/>
    <x v="245"/>
    <x v="245"/>
    <n v="-60.25"/>
  </r>
  <r>
    <s v="4"/>
    <x v="3"/>
    <x v="246"/>
    <x v="246"/>
    <n v="-61.76"/>
  </r>
  <r>
    <s v="4"/>
    <x v="3"/>
    <x v="247"/>
    <x v="247"/>
    <n v="-88.73"/>
  </r>
  <r>
    <s v="4"/>
    <x v="3"/>
    <x v="248"/>
    <x v="248"/>
    <n v="-94.24"/>
  </r>
  <r>
    <s v="4"/>
    <x v="3"/>
    <x v="249"/>
    <x v="249"/>
    <n v="-91.38"/>
  </r>
  <r>
    <s v="4"/>
    <x v="3"/>
    <x v="250"/>
    <x v="250"/>
    <n v="-91.91"/>
  </r>
  <r>
    <s v="4"/>
    <x v="3"/>
    <x v="251"/>
    <x v="251"/>
    <n v="-76.33"/>
  </r>
  <r>
    <s v="4"/>
    <x v="3"/>
    <x v="252"/>
    <x v="252"/>
    <n v="-27.32"/>
  </r>
  <r>
    <s v="4"/>
    <x v="3"/>
    <x v="253"/>
    <x v="253"/>
    <n v="7.22"/>
  </r>
  <r>
    <s v="4"/>
    <x v="3"/>
    <x v="254"/>
    <x v="254"/>
    <n v="19.11"/>
  </r>
  <r>
    <s v="4"/>
    <x v="3"/>
    <x v="255"/>
    <x v="255"/>
    <n v="55.83"/>
  </r>
  <r>
    <s v="4"/>
    <x v="3"/>
    <x v="256"/>
    <x v="256"/>
    <n v="18.05"/>
  </r>
  <r>
    <s v="4"/>
    <x v="3"/>
    <x v="257"/>
    <x v="257"/>
    <n v="-51.81"/>
  </r>
  <r>
    <s v="4"/>
    <x v="3"/>
    <x v="258"/>
    <x v="258"/>
    <n v="-55.61"/>
  </r>
  <r>
    <s v="4"/>
    <x v="3"/>
    <x v="259"/>
    <x v="259"/>
    <n v="-60.96"/>
  </r>
  <r>
    <s v="4"/>
    <x v="3"/>
    <x v="260"/>
    <x v="260"/>
    <n v="-34.39"/>
  </r>
  <r>
    <s v="4"/>
    <x v="3"/>
    <x v="261"/>
    <x v="261"/>
    <n v="64.52"/>
  </r>
  <r>
    <s v="4"/>
    <x v="3"/>
    <x v="262"/>
    <x v="262"/>
    <n v="72.290000000000006"/>
  </r>
  <r>
    <s v="4"/>
    <x v="3"/>
    <x v="263"/>
    <x v="263"/>
    <n v="119.18"/>
  </r>
  <r>
    <s v="4"/>
    <x v="3"/>
    <x v="264"/>
    <x v="264"/>
    <n v="38.83"/>
  </r>
  <r>
    <s v="4"/>
    <x v="3"/>
    <x v="265"/>
    <x v="265"/>
    <n v="-23.53"/>
  </r>
  <r>
    <s v="4"/>
    <x v="3"/>
    <x v="266"/>
    <x v="266"/>
    <n v="-41.96"/>
  </r>
  <r>
    <s v="4"/>
    <x v="3"/>
    <x v="267"/>
    <x v="267"/>
    <n v="-45.63"/>
  </r>
  <r>
    <s v="4"/>
    <x v="3"/>
    <x v="268"/>
    <x v="268"/>
    <n v="-48.95"/>
  </r>
  <r>
    <s v="4"/>
    <x v="3"/>
    <x v="269"/>
    <x v="269"/>
    <n v="-20.51"/>
  </r>
  <r>
    <s v="4"/>
    <x v="3"/>
    <x v="270"/>
    <x v="270"/>
    <n v="8.43"/>
  </r>
  <r>
    <s v="4"/>
    <x v="3"/>
    <x v="271"/>
    <x v="271"/>
    <n v="14.94"/>
  </r>
  <r>
    <s v="4"/>
    <x v="3"/>
    <x v="272"/>
    <x v="272"/>
    <n v="50.68"/>
  </r>
  <r>
    <s v="4"/>
    <x v="3"/>
    <x v="273"/>
    <x v="273"/>
    <n v="32.26"/>
  </r>
  <r>
    <s v="4"/>
    <x v="3"/>
    <x v="274"/>
    <x v="274"/>
    <n v="52.22"/>
  </r>
  <r>
    <s v="4"/>
    <x v="3"/>
    <x v="275"/>
    <x v="275"/>
    <n v="60"/>
  </r>
  <r>
    <s v="4"/>
    <x v="3"/>
    <x v="276"/>
    <x v="276"/>
    <n v="227.27"/>
  </r>
  <r>
    <s v="4"/>
    <x v="3"/>
    <x v="277"/>
    <x v="277"/>
    <n v="203.25"/>
  </r>
  <r>
    <s v="4"/>
    <x v="3"/>
    <x v="278"/>
    <x v="278"/>
    <n v="189.78"/>
  </r>
  <r>
    <s v="4"/>
    <x v="3"/>
    <x v="279"/>
    <x v="279"/>
    <n v="181.25"/>
  </r>
  <r>
    <s v="4"/>
    <x v="3"/>
    <x v="280"/>
    <x v="280"/>
    <n v="94.44"/>
  </r>
  <r>
    <s v="4"/>
    <x v="3"/>
    <x v="281"/>
    <x v="281"/>
    <n v="154.69"/>
  </r>
  <r>
    <s v="4"/>
    <x v="3"/>
    <x v="282"/>
    <x v="282"/>
    <n v="190.43"/>
  </r>
  <r>
    <s v="4"/>
    <x v="3"/>
    <x v="283"/>
    <x v="283"/>
    <n v="167.33"/>
  </r>
  <r>
    <s v="4"/>
    <x v="3"/>
    <x v="284"/>
    <x v="284"/>
    <n v="106.71"/>
  </r>
  <r>
    <s v="4"/>
    <x v="3"/>
    <x v="285"/>
    <x v="285"/>
    <n v="82.84"/>
  </r>
  <r>
    <s v="4"/>
    <x v="3"/>
    <x v="286"/>
    <x v="286"/>
    <n v="66.78"/>
  </r>
  <r>
    <s v="4"/>
    <x v="3"/>
    <x v="287"/>
    <x v="287"/>
    <n v="84.54"/>
  </r>
  <r>
    <s v="4"/>
    <x v="3"/>
    <x v="288"/>
    <x v="288"/>
    <n v="66.069999999999993"/>
  </r>
  <r>
    <s v="4"/>
    <x v="3"/>
    <x v="289"/>
    <x v="289"/>
    <n v="38"/>
  </r>
  <r>
    <s v="4"/>
    <x v="3"/>
    <x v="290"/>
    <x v="290"/>
    <n v="13.88"/>
  </r>
  <r>
    <s v="4"/>
    <x v="3"/>
    <x v="291"/>
    <x v="291"/>
    <n v="-25.99"/>
  </r>
  <r>
    <s v="4"/>
    <x v="3"/>
    <x v="292"/>
    <x v="292"/>
    <n v="-47.57"/>
  </r>
  <r>
    <s v="4"/>
    <x v="3"/>
    <x v="293"/>
    <x v="293"/>
    <n v="-97.5"/>
  </r>
  <r>
    <s v="4"/>
    <x v="3"/>
    <x v="294"/>
    <x v="294"/>
    <n v="-95.75"/>
  </r>
  <r>
    <s v="4"/>
    <x v="3"/>
    <x v="295"/>
    <x v="295"/>
    <n v="-94.52"/>
  </r>
  <r>
    <s v="4"/>
    <x v="3"/>
    <x v="296"/>
    <x v="296"/>
    <n v="-93.65"/>
  </r>
  <r>
    <s v="4"/>
    <x v="3"/>
    <x v="297"/>
    <x v="297"/>
    <n v="16.670000000000002"/>
  </r>
  <r>
    <s v="4"/>
    <x v="3"/>
    <x v="298"/>
    <x v="298"/>
    <n v="-3.23"/>
  </r>
  <r>
    <s v="4"/>
    <x v="3"/>
    <x v="299"/>
    <x v="299"/>
    <n v="-11.11"/>
  </r>
  <r>
    <s v="4"/>
    <x v="3"/>
    <x v="300"/>
    <x v="300"/>
    <n v="50"/>
  </r>
  <r>
    <s v="4"/>
    <x v="3"/>
    <x v="301"/>
    <x v="301"/>
    <n v="1000"/>
  </r>
  <r>
    <s v="4"/>
    <x v="3"/>
    <x v="302"/>
    <x v="302"/>
    <n v="2333.33"/>
  </r>
  <r>
    <s v="4"/>
    <x v="3"/>
    <x v="303"/>
    <x v="303"/>
    <n v="4466.25"/>
  </r>
  <r>
    <s v="4"/>
    <x v="3"/>
    <x v="304"/>
    <x v="304"/>
    <n v="3664.17"/>
  </r>
  <r>
    <s v="4"/>
    <x v="3"/>
    <x v="305"/>
    <x v="305"/>
    <n v="548.04999999999995"/>
  </r>
  <r>
    <s v="4"/>
    <x v="3"/>
    <x v="306"/>
    <x v="306"/>
    <n v="140.18"/>
  </r>
  <r>
    <s v="4"/>
    <x v="3"/>
    <x v="307"/>
    <x v="307"/>
    <n v="45.91"/>
  </r>
  <r>
    <s v="4"/>
    <x v="3"/>
    <x v="308"/>
    <x v="308"/>
    <n v="18"/>
  </r>
  <r>
    <s v="4"/>
    <x v="3"/>
    <x v="309"/>
    <x v="309"/>
    <n v="6.81"/>
  </r>
  <r>
    <s v="4"/>
    <x v="3"/>
    <x v="310"/>
    <x v="310"/>
    <n v="0.06"/>
  </r>
  <r>
    <s v="4"/>
    <x v="3"/>
    <x v="311"/>
    <x v="311"/>
    <n v="-12.76"/>
  </r>
  <r>
    <s v="4"/>
    <x v="3"/>
    <x v="312"/>
    <x v="312"/>
    <n v="-18.760000000000002"/>
  </r>
  <r>
    <s v="4"/>
    <x v="3"/>
    <x v="313"/>
    <x v="313"/>
    <n v="-18.760000000000002"/>
  </r>
  <r>
    <s v="4"/>
    <x v="3"/>
    <x v="314"/>
    <x v="314"/>
    <n v="-18.43"/>
  </r>
  <r>
    <s v="4"/>
    <x v="3"/>
    <x v="315"/>
    <x v="315"/>
    <n v="-16.190000000000001"/>
  </r>
  <r>
    <s v="4"/>
    <x v="3"/>
    <x v="316"/>
    <x v="316"/>
    <n v="-15.94"/>
  </r>
  <r>
    <s v="4"/>
    <x v="3"/>
    <x v="317"/>
    <x v="317"/>
    <n v="-16.100000000000001"/>
  </r>
  <r>
    <s v="5"/>
    <x v="4"/>
    <x v="180"/>
    <x v="180"/>
    <m/>
  </r>
  <r>
    <s v="5"/>
    <x v="4"/>
    <x v="181"/>
    <x v="181"/>
    <m/>
  </r>
  <r>
    <s v="5"/>
    <x v="4"/>
    <x v="182"/>
    <x v="182"/>
    <m/>
  </r>
  <r>
    <s v="5"/>
    <x v="4"/>
    <x v="183"/>
    <x v="183"/>
    <m/>
  </r>
  <r>
    <s v="5"/>
    <x v="4"/>
    <x v="184"/>
    <x v="184"/>
    <n v="6.08"/>
  </r>
  <r>
    <s v="5"/>
    <x v="4"/>
    <x v="185"/>
    <x v="185"/>
    <n v="7.58"/>
  </r>
  <r>
    <s v="5"/>
    <x v="4"/>
    <x v="186"/>
    <x v="186"/>
    <n v="7.77"/>
  </r>
  <r>
    <s v="5"/>
    <x v="4"/>
    <x v="187"/>
    <x v="187"/>
    <n v="7.71"/>
  </r>
  <r>
    <s v="5"/>
    <x v="4"/>
    <x v="188"/>
    <x v="188"/>
    <n v="8.58"/>
  </r>
  <r>
    <s v="5"/>
    <x v="4"/>
    <x v="189"/>
    <x v="189"/>
    <n v="8.06"/>
  </r>
  <r>
    <s v="5"/>
    <x v="4"/>
    <x v="190"/>
    <x v="190"/>
    <n v="8.2899999999999991"/>
  </r>
  <r>
    <s v="5"/>
    <x v="4"/>
    <x v="191"/>
    <x v="191"/>
    <n v="8.33"/>
  </r>
  <r>
    <s v="5"/>
    <x v="4"/>
    <x v="192"/>
    <x v="192"/>
    <n v="6.32"/>
  </r>
  <r>
    <s v="5"/>
    <x v="4"/>
    <x v="193"/>
    <x v="193"/>
    <n v="6.06"/>
  </r>
  <r>
    <s v="5"/>
    <x v="4"/>
    <x v="194"/>
    <x v="194"/>
    <n v="5.27"/>
  </r>
  <r>
    <s v="5"/>
    <x v="4"/>
    <x v="195"/>
    <x v="195"/>
    <n v="4.2699999999999996"/>
  </r>
  <r>
    <s v="5"/>
    <x v="4"/>
    <x v="196"/>
    <x v="196"/>
    <n v="5.85"/>
  </r>
  <r>
    <s v="5"/>
    <x v="4"/>
    <x v="197"/>
    <x v="197"/>
    <n v="6.09"/>
  </r>
  <r>
    <s v="5"/>
    <x v="4"/>
    <x v="198"/>
    <x v="198"/>
    <n v="5.55"/>
  </r>
  <r>
    <s v="5"/>
    <x v="4"/>
    <x v="199"/>
    <x v="199"/>
    <n v="6.28"/>
  </r>
  <r>
    <s v="5"/>
    <x v="4"/>
    <x v="200"/>
    <x v="200"/>
    <n v="6.56"/>
  </r>
  <r>
    <s v="5"/>
    <x v="4"/>
    <x v="201"/>
    <x v="201"/>
    <n v="4.13"/>
  </r>
  <r>
    <s v="5"/>
    <x v="4"/>
    <x v="202"/>
    <x v="202"/>
    <n v="5.62"/>
  </r>
  <r>
    <s v="5"/>
    <x v="4"/>
    <x v="203"/>
    <x v="203"/>
    <n v="4.16"/>
  </r>
  <r>
    <s v="5"/>
    <x v="4"/>
    <x v="204"/>
    <x v="204"/>
    <n v="2.99"/>
  </r>
  <r>
    <s v="5"/>
    <x v="4"/>
    <x v="205"/>
    <x v="205"/>
    <n v="5.9"/>
  </r>
  <r>
    <s v="5"/>
    <x v="4"/>
    <x v="206"/>
    <x v="206"/>
    <n v="3.44"/>
  </r>
  <r>
    <s v="5"/>
    <x v="4"/>
    <x v="207"/>
    <x v="207"/>
    <n v="6.04"/>
  </r>
  <r>
    <s v="5"/>
    <x v="4"/>
    <x v="208"/>
    <x v="208"/>
    <n v="7.33"/>
  </r>
  <r>
    <s v="5"/>
    <x v="4"/>
    <x v="209"/>
    <x v="209"/>
    <n v="7.16"/>
  </r>
  <r>
    <s v="5"/>
    <x v="4"/>
    <x v="210"/>
    <x v="210"/>
    <n v="9.58"/>
  </r>
  <r>
    <s v="5"/>
    <x v="4"/>
    <x v="211"/>
    <x v="211"/>
    <n v="8.73"/>
  </r>
  <r>
    <s v="5"/>
    <x v="4"/>
    <x v="212"/>
    <x v="212"/>
    <n v="9.33"/>
  </r>
  <r>
    <s v="5"/>
    <x v="4"/>
    <x v="213"/>
    <x v="213"/>
    <n v="7.19"/>
  </r>
  <r>
    <s v="5"/>
    <x v="4"/>
    <x v="214"/>
    <x v="214"/>
    <n v="5.65"/>
  </r>
  <r>
    <s v="5"/>
    <x v="4"/>
    <x v="215"/>
    <x v="215"/>
    <n v="4.03"/>
  </r>
  <r>
    <s v="5"/>
    <x v="4"/>
    <x v="216"/>
    <x v="216"/>
    <n v="2.4"/>
  </r>
  <r>
    <s v="5"/>
    <x v="4"/>
    <x v="217"/>
    <x v="217"/>
    <n v="3.36"/>
  </r>
  <r>
    <s v="5"/>
    <x v="4"/>
    <x v="218"/>
    <x v="218"/>
    <n v="1.78"/>
  </r>
  <r>
    <s v="5"/>
    <x v="4"/>
    <x v="219"/>
    <x v="219"/>
    <n v="4.6399999999999997"/>
  </r>
  <r>
    <s v="5"/>
    <x v="4"/>
    <x v="220"/>
    <x v="220"/>
    <n v="2.2999999999999998"/>
  </r>
  <r>
    <s v="5"/>
    <x v="4"/>
    <x v="221"/>
    <x v="221"/>
    <n v="1.93"/>
  </r>
  <r>
    <s v="5"/>
    <x v="4"/>
    <x v="222"/>
    <x v="222"/>
    <n v="4.12"/>
  </r>
  <r>
    <s v="5"/>
    <x v="4"/>
    <x v="223"/>
    <x v="223"/>
    <n v="0.95"/>
  </r>
  <r>
    <s v="5"/>
    <x v="4"/>
    <x v="224"/>
    <x v="224"/>
    <n v="3.29"/>
  </r>
  <r>
    <s v="5"/>
    <x v="4"/>
    <x v="225"/>
    <x v="225"/>
    <n v="3.78"/>
  </r>
  <r>
    <s v="5"/>
    <x v="4"/>
    <x v="226"/>
    <x v="226"/>
    <n v="5.12"/>
  </r>
  <r>
    <s v="5"/>
    <x v="4"/>
    <x v="227"/>
    <x v="227"/>
    <n v="5.32"/>
  </r>
  <r>
    <s v="5"/>
    <x v="4"/>
    <x v="228"/>
    <x v="228"/>
    <n v="6.25"/>
  </r>
  <r>
    <s v="5"/>
    <x v="4"/>
    <x v="229"/>
    <x v="229"/>
    <n v="6.33"/>
  </r>
  <r>
    <s v="5"/>
    <x v="4"/>
    <x v="230"/>
    <x v="230"/>
    <n v="5.0999999999999996"/>
  </r>
  <r>
    <s v="5"/>
    <x v="4"/>
    <x v="231"/>
    <x v="231"/>
    <n v="7.27"/>
  </r>
  <r>
    <s v="5"/>
    <x v="4"/>
    <x v="232"/>
    <x v="232"/>
    <n v="6.27"/>
  </r>
  <r>
    <s v="5"/>
    <x v="4"/>
    <x v="233"/>
    <x v="233"/>
    <n v="7.12"/>
  </r>
  <r>
    <s v="5"/>
    <x v="4"/>
    <x v="234"/>
    <x v="234"/>
    <n v="7.59"/>
  </r>
  <r>
    <s v="5"/>
    <x v="4"/>
    <x v="235"/>
    <x v="235"/>
    <n v="5.47"/>
  </r>
  <r>
    <s v="5"/>
    <x v="4"/>
    <x v="236"/>
    <x v="236"/>
    <n v="7.43"/>
  </r>
  <r>
    <s v="5"/>
    <x v="4"/>
    <x v="237"/>
    <x v="237"/>
    <n v="5.65"/>
  </r>
  <r>
    <s v="5"/>
    <x v="4"/>
    <x v="238"/>
    <x v="238"/>
    <n v="4.42"/>
  </r>
  <r>
    <s v="5"/>
    <x v="4"/>
    <x v="239"/>
    <x v="239"/>
    <n v="4.25"/>
  </r>
  <r>
    <s v="5"/>
    <x v="4"/>
    <x v="240"/>
    <x v="240"/>
    <n v="2.56"/>
  </r>
  <r>
    <s v="5"/>
    <x v="4"/>
    <x v="241"/>
    <x v="241"/>
    <n v="3.06"/>
  </r>
  <r>
    <s v="5"/>
    <x v="4"/>
    <x v="242"/>
    <x v="242"/>
    <n v="3.24"/>
  </r>
  <r>
    <s v="5"/>
    <x v="4"/>
    <x v="243"/>
    <x v="243"/>
    <n v="4.26"/>
  </r>
  <r>
    <s v="5"/>
    <x v="4"/>
    <x v="244"/>
    <x v="244"/>
    <n v="2.3199999999999998"/>
  </r>
  <r>
    <s v="5"/>
    <x v="4"/>
    <x v="245"/>
    <x v="245"/>
    <n v="1.86"/>
  </r>
  <r>
    <s v="5"/>
    <x v="4"/>
    <x v="246"/>
    <x v="246"/>
    <n v="0.05"/>
  </r>
  <r>
    <s v="5"/>
    <x v="4"/>
    <x v="247"/>
    <x v="247"/>
    <n v="-9.17"/>
  </r>
  <r>
    <s v="5"/>
    <x v="4"/>
    <x v="248"/>
    <x v="248"/>
    <n v="-10.56"/>
  </r>
  <r>
    <s v="5"/>
    <x v="4"/>
    <x v="249"/>
    <x v="249"/>
    <n v="-10.75"/>
  </r>
  <r>
    <s v="5"/>
    <x v="4"/>
    <x v="250"/>
    <x v="250"/>
    <n v="-7.97"/>
  </r>
  <r>
    <s v="5"/>
    <x v="4"/>
    <x v="251"/>
    <x v="251"/>
    <n v="0.72"/>
  </r>
  <r>
    <s v="5"/>
    <x v="4"/>
    <x v="252"/>
    <x v="252"/>
    <n v="4.57"/>
  </r>
  <r>
    <s v="5"/>
    <x v="4"/>
    <x v="253"/>
    <x v="253"/>
    <n v="6.07"/>
  </r>
  <r>
    <s v="5"/>
    <x v="4"/>
    <x v="254"/>
    <x v="254"/>
    <n v="4.45"/>
  </r>
  <r>
    <s v="5"/>
    <x v="4"/>
    <x v="255"/>
    <x v="255"/>
    <n v="6.63"/>
  </r>
  <r>
    <s v="5"/>
    <x v="4"/>
    <x v="256"/>
    <x v="256"/>
    <n v="7.51"/>
  </r>
  <r>
    <s v="5"/>
    <x v="4"/>
    <x v="257"/>
    <x v="257"/>
    <n v="7.44"/>
  </r>
  <r>
    <s v="5"/>
    <x v="4"/>
    <x v="258"/>
    <x v="258"/>
    <n v="7.85"/>
  </r>
  <r>
    <s v="5"/>
    <x v="4"/>
    <x v="259"/>
    <x v="259"/>
    <n v="6.68"/>
  </r>
  <r>
    <s v="5"/>
    <x v="4"/>
    <x v="260"/>
    <x v="260"/>
    <n v="6.43"/>
  </r>
  <r>
    <s v="5"/>
    <x v="4"/>
    <x v="261"/>
    <x v="261"/>
    <n v="4.5"/>
  </r>
  <r>
    <s v="5"/>
    <x v="4"/>
    <x v="262"/>
    <x v="262"/>
    <n v="4.47"/>
  </r>
  <r>
    <s v="5"/>
    <x v="4"/>
    <x v="263"/>
    <x v="263"/>
    <n v="4.2300000000000004"/>
  </r>
  <r>
    <s v="5"/>
    <x v="4"/>
    <x v="264"/>
    <x v="264"/>
    <n v="3.94"/>
  </r>
  <r>
    <s v="5"/>
    <x v="4"/>
    <x v="265"/>
    <x v="265"/>
    <n v="4.05"/>
  </r>
  <r>
    <s v="5"/>
    <x v="4"/>
    <x v="266"/>
    <x v="266"/>
    <n v="4.07"/>
  </r>
  <r>
    <s v="5"/>
    <x v="4"/>
    <x v="267"/>
    <x v="267"/>
    <n v="3.38"/>
  </r>
  <r>
    <s v="5"/>
    <x v="4"/>
    <x v="268"/>
    <x v="268"/>
    <n v="2.44"/>
  </r>
  <r>
    <s v="5"/>
    <x v="4"/>
    <x v="269"/>
    <x v="269"/>
    <n v="4.95"/>
  </r>
  <r>
    <s v="5"/>
    <x v="4"/>
    <x v="270"/>
    <x v="270"/>
    <n v="4.8499999999999996"/>
  </r>
  <r>
    <s v="5"/>
    <x v="4"/>
    <x v="271"/>
    <x v="271"/>
    <n v="4.55"/>
  </r>
  <r>
    <s v="5"/>
    <x v="4"/>
    <x v="272"/>
    <x v="272"/>
    <n v="3.16"/>
  </r>
  <r>
    <s v="5"/>
    <x v="4"/>
    <x v="273"/>
    <x v="273"/>
    <n v="2.44"/>
  </r>
  <r>
    <s v="5"/>
    <x v="4"/>
    <x v="274"/>
    <x v="274"/>
    <n v="2.64"/>
  </r>
  <r>
    <s v="5"/>
    <x v="4"/>
    <x v="275"/>
    <x v="275"/>
    <n v="2.0099999999999998"/>
  </r>
  <r>
    <s v="5"/>
    <x v="4"/>
    <x v="276"/>
    <x v="276"/>
    <n v="2.75"/>
  </r>
  <r>
    <s v="5"/>
    <x v="4"/>
    <x v="277"/>
    <x v="277"/>
    <n v="2.27"/>
  </r>
  <r>
    <s v="5"/>
    <x v="4"/>
    <x v="278"/>
    <x v="278"/>
    <n v="2.2000000000000002"/>
  </r>
  <r>
    <s v="5"/>
    <x v="4"/>
    <x v="279"/>
    <x v="279"/>
    <n v="3.47"/>
  </r>
  <r>
    <s v="5"/>
    <x v="4"/>
    <x v="280"/>
    <x v="280"/>
    <n v="5.13"/>
  </r>
  <r>
    <s v="5"/>
    <x v="4"/>
    <x v="281"/>
    <x v="281"/>
    <n v="3.97"/>
  </r>
  <r>
    <s v="5"/>
    <x v="4"/>
    <x v="282"/>
    <x v="282"/>
    <n v="3.99"/>
  </r>
  <r>
    <s v="5"/>
    <x v="4"/>
    <x v="283"/>
    <x v="283"/>
    <n v="5.38"/>
  </r>
  <r>
    <s v="5"/>
    <x v="4"/>
    <x v="284"/>
    <x v="284"/>
    <n v="4.1100000000000003"/>
  </r>
  <r>
    <s v="5"/>
    <x v="4"/>
    <x v="285"/>
    <x v="285"/>
    <n v="5.25"/>
  </r>
  <r>
    <s v="5"/>
    <x v="4"/>
    <x v="286"/>
    <x v="286"/>
    <n v="5.07"/>
  </r>
  <r>
    <s v="5"/>
    <x v="4"/>
    <x v="287"/>
    <x v="287"/>
    <n v="3.04"/>
  </r>
  <r>
    <s v="5"/>
    <x v="4"/>
    <x v="288"/>
    <x v="288"/>
    <n v="2.2000000000000002"/>
  </r>
  <r>
    <s v="5"/>
    <x v="4"/>
    <x v="289"/>
    <x v="289"/>
    <n v="2.93"/>
  </r>
  <r>
    <s v="5"/>
    <x v="4"/>
    <x v="290"/>
    <x v="290"/>
    <n v="3.57"/>
  </r>
  <r>
    <s v="5"/>
    <x v="4"/>
    <x v="291"/>
    <x v="291"/>
    <n v="3.8"/>
  </r>
  <r>
    <s v="5"/>
    <x v="4"/>
    <x v="292"/>
    <x v="292"/>
    <n v="1.17"/>
  </r>
  <r>
    <s v="5"/>
    <x v="4"/>
    <x v="293"/>
    <x v="293"/>
    <n v="-7.41"/>
  </r>
  <r>
    <s v="5"/>
    <x v="4"/>
    <x v="294"/>
    <x v="294"/>
    <n v="4.4000000000000004"/>
  </r>
  <r>
    <s v="5"/>
    <x v="4"/>
    <x v="295"/>
    <x v="295"/>
    <n v="4.5999999999999996"/>
  </r>
  <r>
    <s v="5"/>
    <x v="4"/>
    <x v="296"/>
    <x v="296"/>
    <n v="13.94"/>
  </r>
  <r>
    <s v="5"/>
    <x v="4"/>
    <x v="297"/>
    <x v="297"/>
    <n v="30.67"/>
  </r>
  <r>
    <s v="5"/>
    <x v="4"/>
    <x v="298"/>
    <x v="298"/>
    <n v="13.68"/>
  </r>
  <r>
    <s v="5"/>
    <x v="4"/>
    <x v="299"/>
    <x v="299"/>
    <n v="15.62"/>
  </r>
  <r>
    <s v="5"/>
    <x v="4"/>
    <x v="300"/>
    <x v="300"/>
    <n v="12.47"/>
  </r>
  <r>
    <s v="5"/>
    <x v="4"/>
    <x v="301"/>
    <x v="301"/>
    <n v="8.76"/>
  </r>
  <r>
    <s v="5"/>
    <x v="4"/>
    <x v="302"/>
    <x v="302"/>
    <n v="9.24"/>
  </r>
  <r>
    <s v="5"/>
    <x v="4"/>
    <x v="303"/>
    <x v="303"/>
    <n v="6.25"/>
  </r>
  <r>
    <s v="5"/>
    <x v="4"/>
    <x v="304"/>
    <x v="304"/>
    <n v="5.04"/>
  </r>
  <r>
    <s v="5"/>
    <x v="4"/>
    <x v="305"/>
    <x v="305"/>
    <n v="1.78"/>
  </r>
  <r>
    <s v="5"/>
    <x v="4"/>
    <x v="306"/>
    <x v="306"/>
    <n v="3.41"/>
  </r>
  <r>
    <s v="5"/>
    <x v="4"/>
    <x v="307"/>
    <x v="307"/>
    <n v="3.93"/>
  </r>
  <r>
    <s v="5"/>
    <x v="4"/>
    <x v="308"/>
    <x v="308"/>
    <n v="1.78"/>
  </r>
  <r>
    <s v="5"/>
    <x v="4"/>
    <x v="309"/>
    <x v="309"/>
    <n v="2.54"/>
  </r>
  <r>
    <s v="5"/>
    <x v="4"/>
    <x v="310"/>
    <x v="310"/>
    <n v="2.2599999999999998"/>
  </r>
  <r>
    <s v="5"/>
    <x v="4"/>
    <x v="311"/>
    <x v="311"/>
    <n v="3.87"/>
  </r>
  <r>
    <s v="5"/>
    <x v="4"/>
    <x v="312"/>
    <x v="312"/>
    <n v="4.5199999999999996"/>
  </r>
  <r>
    <s v="5"/>
    <x v="4"/>
    <x v="313"/>
    <x v="313"/>
    <n v="4.03"/>
  </r>
  <r>
    <s v="5"/>
    <x v="4"/>
    <x v="314"/>
    <x v="314"/>
    <n v="4.34"/>
  </r>
  <r>
    <s v="5"/>
    <x v="4"/>
    <x v="315"/>
    <x v="315"/>
    <n v="2.95"/>
  </r>
  <r>
    <s v="5"/>
    <x v="4"/>
    <x v="316"/>
    <x v="316"/>
    <n v="3.9"/>
  </r>
  <r>
    <s v="5"/>
    <x v="4"/>
    <x v="317"/>
    <x v="317"/>
    <n v="6.37"/>
  </r>
  <r>
    <s v="6"/>
    <x v="5"/>
    <x v="180"/>
    <x v="180"/>
    <m/>
  </r>
  <r>
    <s v="6"/>
    <x v="5"/>
    <x v="181"/>
    <x v="181"/>
    <m/>
  </r>
  <r>
    <s v="6"/>
    <x v="5"/>
    <x v="182"/>
    <x v="182"/>
    <m/>
  </r>
  <r>
    <s v="6"/>
    <x v="5"/>
    <x v="183"/>
    <x v="183"/>
    <m/>
  </r>
  <r>
    <s v="6"/>
    <x v="5"/>
    <x v="184"/>
    <x v="184"/>
    <n v="159.08000000000001"/>
  </r>
  <r>
    <s v="6"/>
    <x v="5"/>
    <x v="185"/>
    <x v="185"/>
    <n v="80.099999999999994"/>
  </r>
  <r>
    <s v="6"/>
    <x v="5"/>
    <x v="186"/>
    <x v="186"/>
    <n v="76.430000000000007"/>
  </r>
  <r>
    <s v="6"/>
    <x v="5"/>
    <x v="187"/>
    <x v="187"/>
    <n v="47.65"/>
  </r>
  <r>
    <s v="6"/>
    <x v="5"/>
    <x v="188"/>
    <x v="188"/>
    <n v="53.88"/>
  </r>
  <r>
    <s v="6"/>
    <x v="5"/>
    <x v="189"/>
    <x v="189"/>
    <n v="35.24"/>
  </r>
  <r>
    <s v="6"/>
    <x v="5"/>
    <x v="190"/>
    <x v="190"/>
    <n v="33.47"/>
  </r>
  <r>
    <s v="6"/>
    <x v="5"/>
    <x v="191"/>
    <x v="191"/>
    <n v="40.869999999999997"/>
  </r>
  <r>
    <s v="6"/>
    <x v="5"/>
    <x v="192"/>
    <x v="192"/>
    <n v="27.06"/>
  </r>
  <r>
    <s v="6"/>
    <x v="5"/>
    <x v="193"/>
    <x v="193"/>
    <n v="22.2"/>
  </r>
  <r>
    <s v="6"/>
    <x v="5"/>
    <x v="194"/>
    <x v="194"/>
    <n v="-19.86"/>
  </r>
  <r>
    <s v="6"/>
    <x v="5"/>
    <x v="195"/>
    <x v="195"/>
    <n v="-30.59"/>
  </r>
  <r>
    <s v="6"/>
    <x v="5"/>
    <x v="196"/>
    <x v="196"/>
    <n v="-15.47"/>
  </r>
  <r>
    <s v="6"/>
    <x v="5"/>
    <x v="197"/>
    <x v="197"/>
    <n v="-13.16"/>
  </r>
  <r>
    <s v="6"/>
    <x v="5"/>
    <x v="198"/>
    <x v="198"/>
    <n v="51.03"/>
  </r>
  <r>
    <s v="6"/>
    <x v="5"/>
    <x v="199"/>
    <x v="199"/>
    <n v="28.99"/>
  </r>
  <r>
    <s v="6"/>
    <x v="5"/>
    <x v="200"/>
    <x v="200"/>
    <n v="25.01"/>
  </r>
  <r>
    <s v="6"/>
    <x v="5"/>
    <x v="201"/>
    <x v="201"/>
    <n v="-7.18"/>
  </r>
  <r>
    <s v="6"/>
    <x v="5"/>
    <x v="202"/>
    <x v="202"/>
    <n v="-18.38"/>
  </r>
  <r>
    <s v="6"/>
    <x v="5"/>
    <x v="203"/>
    <x v="203"/>
    <n v="23.73"/>
  </r>
  <r>
    <s v="6"/>
    <x v="5"/>
    <x v="204"/>
    <x v="204"/>
    <n v="19.68"/>
  </r>
  <r>
    <s v="6"/>
    <x v="5"/>
    <x v="205"/>
    <x v="205"/>
    <n v="75.12"/>
  </r>
  <r>
    <s v="6"/>
    <x v="5"/>
    <x v="206"/>
    <x v="206"/>
    <n v="78.87"/>
  </r>
  <r>
    <s v="6"/>
    <x v="5"/>
    <x v="207"/>
    <x v="207"/>
    <n v="48.3"/>
  </r>
  <r>
    <s v="6"/>
    <x v="5"/>
    <x v="208"/>
    <x v="208"/>
    <n v="39.21"/>
  </r>
  <r>
    <s v="6"/>
    <x v="5"/>
    <x v="209"/>
    <x v="209"/>
    <n v="39.74"/>
  </r>
  <r>
    <s v="6"/>
    <x v="5"/>
    <x v="210"/>
    <x v="210"/>
    <n v="45.93"/>
  </r>
  <r>
    <s v="6"/>
    <x v="5"/>
    <x v="211"/>
    <x v="211"/>
    <n v="59.36"/>
  </r>
  <r>
    <s v="6"/>
    <x v="5"/>
    <x v="212"/>
    <x v="212"/>
    <n v="71.09"/>
  </r>
  <r>
    <s v="6"/>
    <x v="5"/>
    <x v="213"/>
    <x v="213"/>
    <n v="46.23"/>
  </r>
  <r>
    <s v="6"/>
    <x v="5"/>
    <x v="214"/>
    <x v="214"/>
    <n v="38.9"/>
  </r>
  <r>
    <s v="6"/>
    <x v="5"/>
    <x v="215"/>
    <x v="215"/>
    <n v="34.32"/>
  </r>
  <r>
    <s v="6"/>
    <x v="5"/>
    <x v="216"/>
    <x v="216"/>
    <n v="11.11"/>
  </r>
  <r>
    <s v="6"/>
    <x v="5"/>
    <x v="217"/>
    <x v="217"/>
    <n v="-2.25"/>
  </r>
  <r>
    <s v="6"/>
    <x v="5"/>
    <x v="218"/>
    <x v="218"/>
    <n v="-7.11"/>
  </r>
  <r>
    <s v="6"/>
    <x v="5"/>
    <x v="219"/>
    <x v="219"/>
    <n v="-11.35"/>
  </r>
  <r>
    <s v="6"/>
    <x v="5"/>
    <x v="220"/>
    <x v="220"/>
    <n v="-2.84"/>
  </r>
  <r>
    <s v="6"/>
    <x v="5"/>
    <x v="221"/>
    <x v="221"/>
    <n v="20.9"/>
  </r>
  <r>
    <s v="6"/>
    <x v="5"/>
    <x v="222"/>
    <x v="222"/>
    <n v="23"/>
  </r>
  <r>
    <s v="6"/>
    <x v="5"/>
    <x v="223"/>
    <x v="223"/>
    <n v="35.71"/>
  </r>
  <r>
    <s v="6"/>
    <x v="5"/>
    <x v="224"/>
    <x v="224"/>
    <n v="34.82"/>
  </r>
  <r>
    <s v="6"/>
    <x v="5"/>
    <x v="225"/>
    <x v="225"/>
    <n v="20.11"/>
  </r>
  <r>
    <s v="6"/>
    <x v="5"/>
    <x v="226"/>
    <x v="226"/>
    <n v="15.68"/>
  </r>
  <r>
    <s v="6"/>
    <x v="5"/>
    <x v="227"/>
    <x v="227"/>
    <n v="6.07"/>
  </r>
  <r>
    <s v="6"/>
    <x v="5"/>
    <x v="228"/>
    <x v="228"/>
    <n v="8.7100000000000009"/>
  </r>
  <r>
    <s v="6"/>
    <x v="5"/>
    <x v="229"/>
    <x v="229"/>
    <n v="21.46"/>
  </r>
  <r>
    <s v="6"/>
    <x v="5"/>
    <x v="230"/>
    <x v="230"/>
    <n v="28.03"/>
  </r>
  <r>
    <s v="6"/>
    <x v="5"/>
    <x v="231"/>
    <x v="231"/>
    <n v="35.44"/>
  </r>
  <r>
    <s v="6"/>
    <x v="5"/>
    <x v="232"/>
    <x v="232"/>
    <n v="23.48"/>
  </r>
  <r>
    <s v="6"/>
    <x v="5"/>
    <x v="233"/>
    <x v="233"/>
    <n v="15.21"/>
  </r>
  <r>
    <s v="6"/>
    <x v="5"/>
    <x v="234"/>
    <x v="234"/>
    <n v="16.23"/>
  </r>
  <r>
    <s v="6"/>
    <x v="5"/>
    <x v="235"/>
    <x v="235"/>
    <n v="16.100000000000001"/>
  </r>
  <r>
    <s v="6"/>
    <x v="5"/>
    <x v="236"/>
    <x v="236"/>
    <n v="14.9"/>
  </r>
  <r>
    <s v="6"/>
    <x v="5"/>
    <x v="237"/>
    <x v="237"/>
    <n v="11.75"/>
  </r>
  <r>
    <s v="6"/>
    <x v="5"/>
    <x v="238"/>
    <x v="238"/>
    <n v="10.19"/>
  </r>
  <r>
    <s v="6"/>
    <x v="5"/>
    <x v="239"/>
    <x v="239"/>
    <n v="-8.0299999999999994"/>
  </r>
  <r>
    <s v="6"/>
    <x v="5"/>
    <x v="240"/>
    <x v="240"/>
    <n v="-7.12"/>
  </r>
  <r>
    <s v="6"/>
    <x v="5"/>
    <x v="241"/>
    <x v="241"/>
    <n v="-6.1"/>
  </r>
  <r>
    <s v="6"/>
    <x v="5"/>
    <x v="242"/>
    <x v="242"/>
    <n v="-12.87"/>
  </r>
  <r>
    <s v="6"/>
    <x v="5"/>
    <x v="243"/>
    <x v="243"/>
    <n v="-2.42"/>
  </r>
  <r>
    <s v="6"/>
    <x v="5"/>
    <x v="244"/>
    <x v="244"/>
    <n v="3.29"/>
  </r>
  <r>
    <s v="6"/>
    <x v="5"/>
    <x v="245"/>
    <x v="245"/>
    <n v="3.19"/>
  </r>
  <r>
    <s v="6"/>
    <x v="5"/>
    <x v="246"/>
    <x v="246"/>
    <n v="7.7"/>
  </r>
  <r>
    <s v="6"/>
    <x v="5"/>
    <x v="247"/>
    <x v="247"/>
    <n v="-16.28"/>
  </r>
  <r>
    <s v="6"/>
    <x v="5"/>
    <x v="248"/>
    <x v="248"/>
    <n v="-48.14"/>
  </r>
  <r>
    <s v="6"/>
    <x v="5"/>
    <x v="249"/>
    <x v="249"/>
    <n v="-56.24"/>
  </r>
  <r>
    <s v="6"/>
    <x v="5"/>
    <x v="250"/>
    <x v="250"/>
    <n v="-47.85"/>
  </r>
  <r>
    <s v="6"/>
    <x v="5"/>
    <x v="251"/>
    <x v="251"/>
    <n v="-25.1"/>
  </r>
  <r>
    <s v="6"/>
    <x v="5"/>
    <x v="252"/>
    <x v="252"/>
    <n v="22.72"/>
  </r>
  <r>
    <s v="6"/>
    <x v="5"/>
    <x v="253"/>
    <x v="253"/>
    <n v="58.37"/>
  </r>
  <r>
    <s v="6"/>
    <x v="5"/>
    <x v="254"/>
    <x v="254"/>
    <n v="31.39"/>
  </r>
  <r>
    <s v="6"/>
    <x v="5"/>
    <x v="255"/>
    <x v="255"/>
    <n v="7.13"/>
  </r>
  <r>
    <s v="6"/>
    <x v="5"/>
    <x v="256"/>
    <x v="256"/>
    <n v="14.68"/>
  </r>
  <r>
    <s v="6"/>
    <x v="5"/>
    <x v="257"/>
    <x v="257"/>
    <n v="7.04"/>
  </r>
  <r>
    <s v="6"/>
    <x v="5"/>
    <x v="258"/>
    <x v="258"/>
    <n v="1.78"/>
  </r>
  <r>
    <s v="6"/>
    <x v="5"/>
    <x v="259"/>
    <x v="259"/>
    <n v="17.89"/>
  </r>
  <r>
    <s v="6"/>
    <x v="5"/>
    <x v="260"/>
    <x v="260"/>
    <n v="3.35"/>
  </r>
  <r>
    <s v="6"/>
    <x v="5"/>
    <x v="261"/>
    <x v="261"/>
    <n v="-4.79"/>
  </r>
  <r>
    <s v="6"/>
    <x v="5"/>
    <x v="262"/>
    <x v="262"/>
    <n v="-7.45"/>
  </r>
  <r>
    <s v="6"/>
    <x v="5"/>
    <x v="263"/>
    <x v="263"/>
    <n v="-13.73"/>
  </r>
  <r>
    <s v="6"/>
    <x v="5"/>
    <x v="264"/>
    <x v="264"/>
    <n v="-18.63"/>
  </r>
  <r>
    <s v="6"/>
    <x v="5"/>
    <x v="265"/>
    <x v="265"/>
    <n v="-14.38"/>
  </r>
  <r>
    <s v="6"/>
    <x v="5"/>
    <x v="266"/>
    <x v="266"/>
    <n v="-9.11"/>
  </r>
  <r>
    <s v="6"/>
    <x v="5"/>
    <x v="267"/>
    <x v="267"/>
    <n v="-16.18"/>
  </r>
  <r>
    <s v="6"/>
    <x v="5"/>
    <x v="268"/>
    <x v="268"/>
    <n v="2.94"/>
  </r>
  <r>
    <s v="6"/>
    <x v="5"/>
    <x v="269"/>
    <x v="269"/>
    <n v="7.19"/>
  </r>
  <r>
    <s v="6"/>
    <x v="5"/>
    <x v="270"/>
    <x v="270"/>
    <n v="4.42"/>
  </r>
  <r>
    <s v="6"/>
    <x v="5"/>
    <x v="271"/>
    <x v="271"/>
    <n v="19.97"/>
  </r>
  <r>
    <s v="6"/>
    <x v="5"/>
    <x v="272"/>
    <x v="272"/>
    <n v="2.61"/>
  </r>
  <r>
    <s v="6"/>
    <x v="5"/>
    <x v="273"/>
    <x v="273"/>
    <n v="-1.22"/>
  </r>
  <r>
    <s v="6"/>
    <x v="5"/>
    <x v="274"/>
    <x v="274"/>
    <n v="7.8"/>
  </r>
  <r>
    <s v="6"/>
    <x v="5"/>
    <x v="275"/>
    <x v="275"/>
    <n v="-1.46"/>
  </r>
  <r>
    <s v="6"/>
    <x v="5"/>
    <x v="276"/>
    <x v="276"/>
    <n v="-0.78"/>
  </r>
  <r>
    <s v="6"/>
    <x v="5"/>
    <x v="277"/>
    <x v="277"/>
    <n v="-2.14"/>
  </r>
  <r>
    <s v="6"/>
    <x v="5"/>
    <x v="278"/>
    <x v="278"/>
    <n v="-7.83"/>
  </r>
  <r>
    <s v="6"/>
    <x v="5"/>
    <x v="279"/>
    <x v="279"/>
    <n v="2.81"/>
  </r>
  <r>
    <s v="6"/>
    <x v="5"/>
    <x v="280"/>
    <x v="280"/>
    <n v="3.43"/>
  </r>
  <r>
    <s v="6"/>
    <x v="5"/>
    <x v="281"/>
    <x v="281"/>
    <n v="10.84"/>
  </r>
  <r>
    <s v="6"/>
    <x v="5"/>
    <x v="282"/>
    <x v="282"/>
    <n v="7.99"/>
  </r>
  <r>
    <s v="6"/>
    <x v="5"/>
    <x v="283"/>
    <x v="283"/>
    <n v="8.27"/>
  </r>
  <r>
    <s v="6"/>
    <x v="5"/>
    <x v="284"/>
    <x v="284"/>
    <n v="11.96"/>
  </r>
  <r>
    <s v="6"/>
    <x v="5"/>
    <x v="285"/>
    <x v="285"/>
    <n v="1"/>
  </r>
  <r>
    <s v="6"/>
    <x v="5"/>
    <x v="286"/>
    <x v="286"/>
    <n v="18.88"/>
  </r>
  <r>
    <s v="6"/>
    <x v="5"/>
    <x v="287"/>
    <x v="287"/>
    <n v="16.02"/>
  </r>
  <r>
    <s v="6"/>
    <x v="5"/>
    <x v="288"/>
    <x v="288"/>
    <n v="2.65"/>
  </r>
  <r>
    <s v="6"/>
    <x v="5"/>
    <x v="289"/>
    <x v="289"/>
    <n v="12.84"/>
  </r>
  <r>
    <s v="6"/>
    <x v="5"/>
    <x v="290"/>
    <x v="290"/>
    <n v="-6.24"/>
  </r>
  <r>
    <s v="6"/>
    <x v="5"/>
    <x v="291"/>
    <x v="291"/>
    <n v="-21.73"/>
  </r>
  <r>
    <s v="6"/>
    <x v="5"/>
    <x v="292"/>
    <x v="292"/>
    <n v="-12.88"/>
  </r>
  <r>
    <s v="6"/>
    <x v="5"/>
    <x v="293"/>
    <x v="293"/>
    <n v="7.24"/>
  </r>
  <r>
    <s v="6"/>
    <x v="5"/>
    <x v="294"/>
    <x v="294"/>
    <n v="30.5"/>
  </r>
  <r>
    <s v="6"/>
    <x v="5"/>
    <x v="295"/>
    <x v="295"/>
    <n v="57.41"/>
  </r>
  <r>
    <s v="6"/>
    <x v="5"/>
    <x v="296"/>
    <x v="296"/>
    <n v="57.71"/>
  </r>
  <r>
    <s v="6"/>
    <x v="5"/>
    <x v="297"/>
    <x v="297"/>
    <n v="28.68"/>
  </r>
  <r>
    <s v="6"/>
    <x v="5"/>
    <x v="298"/>
    <x v="298"/>
    <n v="21.35"/>
  </r>
  <r>
    <s v="6"/>
    <x v="5"/>
    <x v="299"/>
    <x v="299"/>
    <n v="20.8"/>
  </r>
  <r>
    <s v="6"/>
    <x v="5"/>
    <x v="300"/>
    <x v="300"/>
    <n v="36.96"/>
  </r>
  <r>
    <s v="6"/>
    <x v="5"/>
    <x v="301"/>
    <x v="301"/>
    <n v="19.670000000000002"/>
  </r>
  <r>
    <s v="6"/>
    <x v="5"/>
    <x v="302"/>
    <x v="302"/>
    <n v="-7.01"/>
  </r>
  <r>
    <s v="6"/>
    <x v="5"/>
    <x v="303"/>
    <x v="303"/>
    <n v="-8.1999999999999993"/>
  </r>
  <r>
    <s v="6"/>
    <x v="5"/>
    <x v="304"/>
    <x v="304"/>
    <n v="-28.34"/>
  </r>
  <r>
    <s v="6"/>
    <x v="5"/>
    <x v="305"/>
    <x v="305"/>
    <n v="-18.23"/>
  </r>
  <r>
    <s v="6"/>
    <x v="5"/>
    <x v="306"/>
    <x v="306"/>
    <n v="-10.050000000000001"/>
  </r>
  <r>
    <s v="6"/>
    <x v="5"/>
    <x v="307"/>
    <x v="307"/>
    <n v="-7.9"/>
  </r>
  <r>
    <s v="6"/>
    <x v="5"/>
    <x v="308"/>
    <x v="308"/>
    <n v="1.52"/>
  </r>
  <r>
    <s v="6"/>
    <x v="5"/>
    <x v="309"/>
    <x v="309"/>
    <n v="9.32"/>
  </r>
  <r>
    <s v="6"/>
    <x v="5"/>
    <x v="310"/>
    <x v="310"/>
    <n v="29.14"/>
  </r>
  <r>
    <s v="6"/>
    <x v="5"/>
    <x v="311"/>
    <x v="311"/>
    <n v="33.049999999999997"/>
  </r>
  <r>
    <s v="6"/>
    <x v="5"/>
    <x v="312"/>
    <x v="312"/>
    <n v="98.18"/>
  </r>
  <r>
    <s v="6"/>
    <x v="5"/>
    <x v="313"/>
    <x v="313"/>
    <n v="-12.58"/>
  </r>
  <r>
    <s v="6"/>
    <x v="5"/>
    <x v="314"/>
    <x v="314"/>
    <n v="-16.14"/>
  </r>
  <r>
    <s v="6"/>
    <x v="5"/>
    <x v="315"/>
    <x v="315"/>
    <n v="-29.74"/>
  </r>
  <r>
    <s v="6"/>
    <x v="5"/>
    <x v="316"/>
    <x v="316"/>
    <n v="-57.62"/>
  </r>
  <r>
    <s v="6"/>
    <x v="5"/>
    <x v="317"/>
    <x v="317"/>
    <n v="7.55"/>
  </r>
  <r>
    <s v="7"/>
    <x v="6"/>
    <x v="124"/>
    <x v="124"/>
    <m/>
  </r>
  <r>
    <s v="7"/>
    <x v="6"/>
    <x v="125"/>
    <x v="125"/>
    <m/>
  </r>
  <r>
    <s v="7"/>
    <x v="6"/>
    <x v="126"/>
    <x v="126"/>
    <m/>
  </r>
  <r>
    <s v="7"/>
    <x v="6"/>
    <x v="127"/>
    <x v="127"/>
    <m/>
  </r>
  <r>
    <s v="7"/>
    <x v="6"/>
    <x v="128"/>
    <x v="128"/>
    <n v="-13.13"/>
  </r>
  <r>
    <s v="7"/>
    <x v="6"/>
    <x v="129"/>
    <x v="129"/>
    <n v="-18.239999999999998"/>
  </r>
  <r>
    <s v="7"/>
    <x v="6"/>
    <x v="130"/>
    <x v="130"/>
    <n v="-20.56"/>
  </r>
  <r>
    <s v="7"/>
    <x v="6"/>
    <x v="131"/>
    <x v="131"/>
    <n v="-15.43"/>
  </r>
  <r>
    <s v="7"/>
    <x v="6"/>
    <x v="132"/>
    <x v="132"/>
    <n v="-11.19"/>
  </r>
  <r>
    <s v="7"/>
    <x v="6"/>
    <x v="133"/>
    <x v="133"/>
    <n v="-18.41"/>
  </r>
  <r>
    <s v="7"/>
    <x v="6"/>
    <x v="134"/>
    <x v="134"/>
    <n v="6.11"/>
  </r>
  <r>
    <s v="7"/>
    <x v="6"/>
    <x v="135"/>
    <x v="135"/>
    <n v="15.99"/>
  </r>
  <r>
    <s v="7"/>
    <x v="6"/>
    <x v="136"/>
    <x v="136"/>
    <n v="7.56"/>
  </r>
  <r>
    <s v="7"/>
    <x v="6"/>
    <x v="137"/>
    <x v="137"/>
    <n v="35.99"/>
  </r>
  <r>
    <s v="7"/>
    <x v="6"/>
    <x v="138"/>
    <x v="138"/>
    <n v="10.38"/>
  </r>
  <r>
    <s v="7"/>
    <x v="6"/>
    <x v="139"/>
    <x v="139"/>
    <n v="-8.83"/>
  </r>
  <r>
    <s v="7"/>
    <x v="6"/>
    <x v="140"/>
    <x v="140"/>
    <n v="-2.59"/>
  </r>
  <r>
    <s v="7"/>
    <x v="6"/>
    <x v="141"/>
    <x v="141"/>
    <n v="-10.41"/>
  </r>
  <r>
    <s v="7"/>
    <x v="6"/>
    <x v="142"/>
    <x v="142"/>
    <n v="-10.83"/>
  </r>
  <r>
    <s v="7"/>
    <x v="6"/>
    <x v="143"/>
    <x v="143"/>
    <n v="10.3"/>
  </r>
  <r>
    <s v="7"/>
    <x v="6"/>
    <x v="144"/>
    <x v="144"/>
    <n v="13.18"/>
  </r>
  <r>
    <s v="7"/>
    <x v="6"/>
    <x v="145"/>
    <x v="145"/>
    <n v="38.200000000000003"/>
  </r>
  <r>
    <s v="7"/>
    <x v="6"/>
    <x v="146"/>
    <x v="146"/>
    <n v="36.729999999999997"/>
  </r>
  <r>
    <s v="7"/>
    <x v="6"/>
    <x v="147"/>
    <x v="147"/>
    <n v="26.31"/>
  </r>
  <r>
    <s v="7"/>
    <x v="6"/>
    <x v="148"/>
    <x v="148"/>
    <n v="32.200000000000003"/>
  </r>
  <r>
    <s v="7"/>
    <x v="6"/>
    <x v="149"/>
    <x v="149"/>
    <n v="5.5"/>
  </r>
  <r>
    <s v="7"/>
    <x v="6"/>
    <x v="150"/>
    <x v="150"/>
    <n v="8.41"/>
  </r>
  <r>
    <s v="7"/>
    <x v="6"/>
    <x v="151"/>
    <x v="151"/>
    <n v="3.75"/>
  </r>
  <r>
    <s v="7"/>
    <x v="6"/>
    <x v="152"/>
    <x v="152"/>
    <n v="-5.0599999999999996"/>
  </r>
  <r>
    <s v="7"/>
    <x v="6"/>
    <x v="153"/>
    <x v="153"/>
    <n v="-2.35"/>
  </r>
  <r>
    <s v="7"/>
    <x v="6"/>
    <x v="154"/>
    <x v="154"/>
    <n v="-6.1"/>
  </r>
  <r>
    <s v="7"/>
    <x v="6"/>
    <x v="155"/>
    <x v="155"/>
    <n v="-4.1100000000000003"/>
  </r>
  <r>
    <s v="7"/>
    <x v="6"/>
    <x v="156"/>
    <x v="156"/>
    <n v="1.1299999999999999"/>
  </r>
  <r>
    <s v="7"/>
    <x v="6"/>
    <x v="157"/>
    <x v="157"/>
    <n v="2.62"/>
  </r>
  <r>
    <s v="7"/>
    <x v="6"/>
    <x v="158"/>
    <x v="158"/>
    <n v="2.15"/>
  </r>
  <r>
    <s v="7"/>
    <x v="6"/>
    <x v="159"/>
    <x v="159"/>
    <n v="1.06"/>
  </r>
  <r>
    <s v="7"/>
    <x v="6"/>
    <x v="160"/>
    <x v="160"/>
    <n v="-5.3"/>
  </r>
  <r>
    <s v="7"/>
    <x v="6"/>
    <x v="161"/>
    <x v="161"/>
    <n v="-5.13"/>
  </r>
  <r>
    <s v="7"/>
    <x v="6"/>
    <x v="162"/>
    <x v="162"/>
    <n v="-0.98"/>
  </r>
  <r>
    <s v="7"/>
    <x v="6"/>
    <x v="163"/>
    <x v="163"/>
    <n v="-6.12"/>
  </r>
  <r>
    <s v="7"/>
    <x v="6"/>
    <x v="164"/>
    <x v="164"/>
    <n v="2.06"/>
  </r>
  <r>
    <s v="7"/>
    <x v="6"/>
    <x v="165"/>
    <x v="165"/>
    <n v="1.92"/>
  </r>
  <r>
    <s v="7"/>
    <x v="6"/>
    <x v="166"/>
    <x v="166"/>
    <n v="2.27"/>
  </r>
  <r>
    <s v="7"/>
    <x v="6"/>
    <x v="167"/>
    <x v="167"/>
    <n v="7.64"/>
  </r>
  <r>
    <s v="7"/>
    <x v="6"/>
    <x v="168"/>
    <x v="168"/>
    <n v="3.83"/>
  </r>
  <r>
    <s v="7"/>
    <x v="6"/>
    <x v="169"/>
    <x v="169"/>
    <n v="-2.82"/>
  </r>
  <r>
    <s v="7"/>
    <x v="6"/>
    <x v="170"/>
    <x v="170"/>
    <n v="-3.71"/>
  </r>
  <r>
    <s v="7"/>
    <x v="6"/>
    <x v="171"/>
    <x v="171"/>
    <n v="-1.33"/>
  </r>
  <r>
    <s v="7"/>
    <x v="6"/>
    <x v="172"/>
    <x v="172"/>
    <n v="-4.8"/>
  </r>
  <r>
    <s v="7"/>
    <x v="6"/>
    <x v="173"/>
    <x v="173"/>
    <n v="0"/>
  </r>
  <r>
    <s v="7"/>
    <x v="6"/>
    <x v="174"/>
    <x v="174"/>
    <n v="-14.42"/>
  </r>
  <r>
    <s v="7"/>
    <x v="6"/>
    <x v="175"/>
    <x v="175"/>
    <n v="-29.02"/>
  </r>
  <r>
    <s v="7"/>
    <x v="6"/>
    <x v="176"/>
    <x v="176"/>
    <n v="-17.86"/>
  </r>
  <r>
    <s v="7"/>
    <x v="6"/>
    <x v="177"/>
    <x v="177"/>
    <n v="-11.22"/>
  </r>
  <r>
    <s v="7"/>
    <x v="6"/>
    <x v="178"/>
    <x v="178"/>
    <n v="4.42"/>
  </r>
  <r>
    <s v="7"/>
    <x v="6"/>
    <x v="179"/>
    <x v="179"/>
    <n v="10.34"/>
  </r>
  <r>
    <s v="7"/>
    <x v="6"/>
    <x v="180"/>
    <x v="180"/>
    <n v="-5.6"/>
  </r>
  <r>
    <s v="7"/>
    <x v="6"/>
    <x v="181"/>
    <x v="181"/>
    <n v="-2.23"/>
  </r>
  <r>
    <s v="7"/>
    <x v="6"/>
    <x v="182"/>
    <x v="182"/>
    <n v="-7.91"/>
  </r>
  <r>
    <s v="7"/>
    <x v="6"/>
    <x v="183"/>
    <x v="183"/>
    <n v="15.77"/>
  </r>
  <r>
    <s v="7"/>
    <x v="6"/>
    <x v="184"/>
    <x v="184"/>
    <n v="23.32"/>
  </r>
  <r>
    <s v="7"/>
    <x v="6"/>
    <x v="185"/>
    <x v="185"/>
    <n v="4.4800000000000004"/>
  </r>
  <r>
    <s v="7"/>
    <x v="6"/>
    <x v="186"/>
    <x v="186"/>
    <n v="1.71"/>
  </r>
  <r>
    <s v="7"/>
    <x v="6"/>
    <x v="187"/>
    <x v="187"/>
    <n v="1"/>
  </r>
  <r>
    <s v="7"/>
    <x v="6"/>
    <x v="188"/>
    <x v="188"/>
    <n v="6.57"/>
  </r>
  <r>
    <s v="7"/>
    <x v="6"/>
    <x v="189"/>
    <x v="189"/>
    <n v="11.8"/>
  </r>
  <r>
    <s v="7"/>
    <x v="6"/>
    <x v="190"/>
    <x v="190"/>
    <n v="17.23"/>
  </r>
  <r>
    <s v="7"/>
    <x v="6"/>
    <x v="191"/>
    <x v="191"/>
    <n v="10.83"/>
  </r>
  <r>
    <s v="7"/>
    <x v="6"/>
    <x v="192"/>
    <x v="192"/>
    <n v="1.43"/>
  </r>
  <r>
    <s v="7"/>
    <x v="6"/>
    <x v="193"/>
    <x v="193"/>
    <n v="-0.57999999999999996"/>
  </r>
  <r>
    <s v="7"/>
    <x v="6"/>
    <x v="194"/>
    <x v="194"/>
    <n v="2.68"/>
  </r>
  <r>
    <s v="7"/>
    <x v="6"/>
    <x v="195"/>
    <x v="195"/>
    <n v="-3.58"/>
  </r>
  <r>
    <s v="7"/>
    <x v="6"/>
    <x v="196"/>
    <x v="196"/>
    <n v="-4.0599999999999996"/>
  </r>
  <r>
    <s v="7"/>
    <x v="6"/>
    <x v="197"/>
    <x v="197"/>
    <n v="-0.18"/>
  </r>
  <r>
    <s v="7"/>
    <x v="6"/>
    <x v="198"/>
    <x v="198"/>
    <n v="1.86"/>
  </r>
  <r>
    <s v="7"/>
    <x v="6"/>
    <x v="199"/>
    <x v="199"/>
    <n v="8.61"/>
  </r>
  <r>
    <s v="7"/>
    <x v="6"/>
    <x v="200"/>
    <x v="200"/>
    <n v="9.43"/>
  </r>
  <r>
    <s v="7"/>
    <x v="6"/>
    <x v="201"/>
    <x v="201"/>
    <n v="12.6"/>
  </r>
  <r>
    <s v="7"/>
    <x v="6"/>
    <x v="202"/>
    <x v="202"/>
    <n v="11.52"/>
  </r>
  <r>
    <s v="7"/>
    <x v="6"/>
    <x v="203"/>
    <x v="203"/>
    <n v="7.62"/>
  </r>
  <r>
    <s v="7"/>
    <x v="6"/>
    <x v="204"/>
    <x v="204"/>
    <n v="8.89"/>
  </r>
  <r>
    <s v="7"/>
    <x v="6"/>
    <x v="205"/>
    <x v="205"/>
    <n v="3.79"/>
  </r>
  <r>
    <s v="7"/>
    <x v="6"/>
    <x v="206"/>
    <x v="206"/>
    <n v="-2.2000000000000002"/>
  </r>
  <r>
    <s v="7"/>
    <x v="6"/>
    <x v="207"/>
    <x v="207"/>
    <n v="-4.54"/>
  </r>
  <r>
    <s v="7"/>
    <x v="6"/>
    <x v="208"/>
    <x v="208"/>
    <n v="-1.79"/>
  </r>
  <r>
    <s v="7"/>
    <x v="6"/>
    <x v="209"/>
    <x v="209"/>
    <n v="-0.65"/>
  </r>
  <r>
    <s v="7"/>
    <x v="6"/>
    <x v="210"/>
    <x v="210"/>
    <n v="2.3199999999999998"/>
  </r>
  <r>
    <s v="7"/>
    <x v="6"/>
    <x v="211"/>
    <x v="211"/>
    <n v="5.0599999999999996"/>
  </r>
  <r>
    <s v="7"/>
    <x v="6"/>
    <x v="212"/>
    <x v="212"/>
    <n v="4"/>
  </r>
  <r>
    <s v="7"/>
    <x v="6"/>
    <x v="213"/>
    <x v="213"/>
    <n v="2.39"/>
  </r>
  <r>
    <s v="7"/>
    <x v="6"/>
    <x v="214"/>
    <x v="214"/>
    <n v="1.48"/>
  </r>
  <r>
    <s v="7"/>
    <x v="6"/>
    <x v="215"/>
    <x v="215"/>
    <n v="-1.27"/>
  </r>
  <r>
    <s v="7"/>
    <x v="6"/>
    <x v="216"/>
    <x v="216"/>
    <n v="-16.22"/>
  </r>
  <r>
    <s v="7"/>
    <x v="6"/>
    <x v="217"/>
    <x v="217"/>
    <n v="-16.329999999999998"/>
  </r>
  <r>
    <s v="7"/>
    <x v="6"/>
    <x v="218"/>
    <x v="218"/>
    <n v="-17.59"/>
  </r>
  <r>
    <s v="7"/>
    <x v="6"/>
    <x v="219"/>
    <x v="219"/>
    <n v="-18.09"/>
  </r>
  <r>
    <s v="7"/>
    <x v="6"/>
    <x v="220"/>
    <x v="220"/>
    <n v="0.94"/>
  </r>
  <r>
    <s v="7"/>
    <x v="6"/>
    <x v="221"/>
    <x v="221"/>
    <n v="3.41"/>
  </r>
  <r>
    <s v="7"/>
    <x v="6"/>
    <x v="222"/>
    <x v="222"/>
    <n v="-1.47"/>
  </r>
  <r>
    <s v="7"/>
    <x v="6"/>
    <x v="223"/>
    <x v="223"/>
    <n v="-1.53"/>
  </r>
  <r>
    <s v="7"/>
    <x v="6"/>
    <x v="224"/>
    <x v="224"/>
    <n v="-14.14"/>
  </r>
  <r>
    <s v="7"/>
    <x v="6"/>
    <x v="225"/>
    <x v="225"/>
    <n v="-5.14"/>
  </r>
  <r>
    <s v="7"/>
    <x v="6"/>
    <x v="226"/>
    <x v="226"/>
    <n v="2.33"/>
  </r>
  <r>
    <s v="7"/>
    <x v="6"/>
    <x v="227"/>
    <x v="227"/>
    <n v="9.6999999999999993"/>
  </r>
  <r>
    <s v="7"/>
    <x v="6"/>
    <x v="228"/>
    <x v="228"/>
    <n v="22.55"/>
  </r>
  <r>
    <s v="7"/>
    <x v="6"/>
    <x v="229"/>
    <x v="229"/>
    <n v="4.55"/>
  </r>
  <r>
    <s v="7"/>
    <x v="6"/>
    <x v="230"/>
    <x v="230"/>
    <n v="7.05"/>
  </r>
  <r>
    <s v="7"/>
    <x v="6"/>
    <x v="231"/>
    <x v="231"/>
    <n v="2.0699999999999998"/>
  </r>
  <r>
    <s v="7"/>
    <x v="6"/>
    <x v="232"/>
    <x v="232"/>
    <n v="-4.01"/>
  </r>
  <r>
    <s v="7"/>
    <x v="6"/>
    <x v="233"/>
    <x v="233"/>
    <n v="-3.36"/>
  </r>
  <r>
    <s v="7"/>
    <x v="6"/>
    <x v="234"/>
    <x v="234"/>
    <n v="-8.4700000000000006"/>
  </r>
  <r>
    <s v="7"/>
    <x v="6"/>
    <x v="235"/>
    <x v="235"/>
    <n v="-12.18"/>
  </r>
  <r>
    <s v="7"/>
    <x v="6"/>
    <x v="236"/>
    <x v="236"/>
    <n v="-5.46"/>
  </r>
  <r>
    <s v="7"/>
    <x v="6"/>
    <x v="237"/>
    <x v="237"/>
    <n v="-7.1"/>
  </r>
  <r>
    <s v="7"/>
    <x v="6"/>
    <x v="238"/>
    <x v="238"/>
    <n v="-3.96"/>
  </r>
  <r>
    <s v="7"/>
    <x v="6"/>
    <x v="239"/>
    <x v="239"/>
    <n v="12.17"/>
  </r>
  <r>
    <s v="7"/>
    <x v="6"/>
    <x v="240"/>
    <x v="240"/>
    <n v="3.67"/>
  </r>
  <r>
    <s v="7"/>
    <x v="6"/>
    <x v="241"/>
    <x v="241"/>
    <n v="3.7"/>
  </r>
  <r>
    <s v="7"/>
    <x v="6"/>
    <x v="242"/>
    <x v="242"/>
    <n v="2.02"/>
  </r>
  <r>
    <s v="7"/>
    <x v="6"/>
    <x v="243"/>
    <x v="243"/>
    <n v="-16.190000000000001"/>
  </r>
  <r>
    <s v="7"/>
    <x v="6"/>
    <x v="244"/>
    <x v="244"/>
    <n v="-20.93"/>
  </r>
  <r>
    <s v="7"/>
    <x v="6"/>
    <x v="245"/>
    <x v="245"/>
    <n v="-31.42"/>
  </r>
  <r>
    <s v="7"/>
    <x v="6"/>
    <x v="246"/>
    <x v="246"/>
    <n v="-24.38"/>
  </r>
  <r>
    <s v="7"/>
    <x v="6"/>
    <x v="247"/>
    <x v="247"/>
    <n v="-25.59"/>
  </r>
  <r>
    <s v="7"/>
    <x v="6"/>
    <x v="248"/>
    <x v="248"/>
    <n v="-20.07"/>
  </r>
  <r>
    <s v="7"/>
    <x v="6"/>
    <x v="249"/>
    <x v="249"/>
    <n v="14.43"/>
  </r>
  <r>
    <s v="7"/>
    <x v="6"/>
    <x v="250"/>
    <x v="250"/>
    <n v="5.5"/>
  </r>
  <r>
    <s v="7"/>
    <x v="6"/>
    <x v="251"/>
    <x v="251"/>
    <n v="21.68"/>
  </r>
  <r>
    <s v="7"/>
    <x v="6"/>
    <x v="252"/>
    <x v="252"/>
    <n v="26.77"/>
  </r>
  <r>
    <s v="7"/>
    <x v="6"/>
    <x v="253"/>
    <x v="253"/>
    <n v="8.41"/>
  </r>
  <r>
    <s v="7"/>
    <x v="6"/>
    <x v="254"/>
    <x v="254"/>
    <n v="-0.15"/>
  </r>
  <r>
    <s v="7"/>
    <x v="6"/>
    <x v="255"/>
    <x v="255"/>
    <n v="1.57"/>
  </r>
  <r>
    <s v="7"/>
    <x v="6"/>
    <x v="256"/>
    <x v="256"/>
    <n v="-1.08"/>
  </r>
  <r>
    <s v="7"/>
    <x v="6"/>
    <x v="257"/>
    <x v="257"/>
    <n v="-2.79"/>
  </r>
  <r>
    <s v="7"/>
    <x v="6"/>
    <x v="258"/>
    <x v="258"/>
    <n v="-12.64"/>
  </r>
  <r>
    <s v="7"/>
    <x v="6"/>
    <x v="259"/>
    <x v="259"/>
    <n v="-9.07"/>
  </r>
  <r>
    <s v="7"/>
    <x v="6"/>
    <x v="260"/>
    <x v="260"/>
    <n v="3.33"/>
  </r>
  <r>
    <s v="7"/>
    <x v="6"/>
    <x v="261"/>
    <x v="261"/>
    <n v="6.17"/>
  </r>
  <r>
    <s v="7"/>
    <x v="6"/>
    <x v="262"/>
    <x v="262"/>
    <n v="25.64"/>
  </r>
  <r>
    <s v="7"/>
    <x v="6"/>
    <x v="263"/>
    <x v="263"/>
    <n v="22.53"/>
  </r>
  <r>
    <s v="7"/>
    <x v="6"/>
    <x v="264"/>
    <x v="264"/>
    <n v="1.55"/>
  </r>
  <r>
    <s v="7"/>
    <x v="6"/>
    <x v="265"/>
    <x v="265"/>
    <n v="7.03"/>
  </r>
  <r>
    <s v="7"/>
    <x v="6"/>
    <x v="266"/>
    <x v="266"/>
    <n v="8.8000000000000007"/>
  </r>
  <r>
    <s v="7"/>
    <x v="6"/>
    <x v="267"/>
    <x v="267"/>
    <n v="-3.11"/>
  </r>
  <r>
    <s v="7"/>
    <x v="6"/>
    <x v="268"/>
    <x v="268"/>
    <n v="5.56"/>
  </r>
  <r>
    <s v="7"/>
    <x v="6"/>
    <x v="269"/>
    <x v="269"/>
    <n v="1.43"/>
  </r>
  <r>
    <s v="7"/>
    <x v="6"/>
    <x v="270"/>
    <x v="270"/>
    <n v="1.72"/>
  </r>
  <r>
    <s v="7"/>
    <x v="6"/>
    <x v="271"/>
    <x v="271"/>
    <n v="16.68"/>
  </r>
  <r>
    <s v="7"/>
    <x v="6"/>
    <x v="272"/>
    <x v="272"/>
    <n v="18"/>
  </r>
  <r>
    <s v="7"/>
    <x v="6"/>
    <x v="273"/>
    <x v="273"/>
    <n v="13.76"/>
  </r>
  <r>
    <s v="7"/>
    <x v="6"/>
    <x v="274"/>
    <x v="274"/>
    <n v="9.36"/>
  </r>
  <r>
    <s v="7"/>
    <x v="6"/>
    <x v="275"/>
    <x v="275"/>
    <n v="1.71"/>
  </r>
  <r>
    <s v="7"/>
    <x v="6"/>
    <x v="276"/>
    <x v="276"/>
    <n v="-4.12"/>
  </r>
  <r>
    <s v="7"/>
    <x v="6"/>
    <x v="277"/>
    <x v="277"/>
    <n v="-1.95"/>
  </r>
  <r>
    <s v="7"/>
    <x v="6"/>
    <x v="278"/>
    <x v="278"/>
    <n v="-0.44"/>
  </r>
  <r>
    <s v="7"/>
    <x v="6"/>
    <x v="279"/>
    <x v="279"/>
    <n v="1.94"/>
  </r>
  <r>
    <s v="7"/>
    <x v="6"/>
    <x v="280"/>
    <x v="280"/>
    <n v="6.19"/>
  </r>
  <r>
    <s v="7"/>
    <x v="6"/>
    <x v="281"/>
    <x v="281"/>
    <n v="4.29"/>
  </r>
  <r>
    <s v="7"/>
    <x v="6"/>
    <x v="282"/>
    <x v="282"/>
    <n v="5.28"/>
  </r>
  <r>
    <s v="7"/>
    <x v="6"/>
    <x v="283"/>
    <x v="283"/>
    <n v="5.69"/>
  </r>
  <r>
    <s v="7"/>
    <x v="6"/>
    <x v="284"/>
    <x v="284"/>
    <n v="1.75"/>
  </r>
  <r>
    <s v="7"/>
    <x v="6"/>
    <x v="285"/>
    <x v="285"/>
    <n v="2.04"/>
  </r>
  <r>
    <s v="7"/>
    <x v="6"/>
    <x v="286"/>
    <x v="286"/>
    <n v="3.12"/>
  </r>
  <r>
    <s v="7"/>
    <x v="6"/>
    <x v="287"/>
    <x v="287"/>
    <n v="-0.24"/>
  </r>
  <r>
    <s v="7"/>
    <x v="6"/>
    <x v="288"/>
    <x v="288"/>
    <n v="-4.51"/>
  </r>
  <r>
    <s v="7"/>
    <x v="6"/>
    <x v="289"/>
    <x v="289"/>
    <n v="0.14000000000000001"/>
  </r>
  <r>
    <s v="7"/>
    <x v="6"/>
    <x v="290"/>
    <x v="290"/>
    <n v="-4.3499999999999996"/>
  </r>
  <r>
    <s v="7"/>
    <x v="6"/>
    <x v="291"/>
    <x v="291"/>
    <n v="-0.95"/>
  </r>
  <r>
    <s v="7"/>
    <x v="6"/>
    <x v="292"/>
    <x v="292"/>
    <n v="2.29"/>
  </r>
  <r>
    <s v="7"/>
    <x v="6"/>
    <x v="293"/>
    <x v="293"/>
    <n v="-24.78"/>
  </r>
  <r>
    <s v="7"/>
    <x v="6"/>
    <x v="294"/>
    <x v="294"/>
    <n v="-19.329999999999998"/>
  </r>
  <r>
    <s v="7"/>
    <x v="6"/>
    <x v="295"/>
    <x v="295"/>
    <n v="-17.899999999999999"/>
  </r>
  <r>
    <s v="7"/>
    <x v="6"/>
    <x v="296"/>
    <x v="296"/>
    <n v="-16.97"/>
  </r>
  <r>
    <s v="7"/>
    <x v="6"/>
    <x v="297"/>
    <x v="297"/>
    <n v="15.53"/>
  </r>
  <r>
    <s v="7"/>
    <x v="6"/>
    <x v="298"/>
    <x v="298"/>
    <n v="-1.19"/>
  </r>
  <r>
    <s v="7"/>
    <x v="6"/>
    <x v="299"/>
    <x v="299"/>
    <n v="-12.41"/>
  </r>
  <r>
    <s v="7"/>
    <x v="6"/>
    <x v="300"/>
    <x v="300"/>
    <n v="-21.31"/>
  </r>
  <r>
    <s v="7"/>
    <x v="6"/>
    <x v="301"/>
    <x v="301"/>
    <n v="-32.369999999999997"/>
  </r>
  <r>
    <s v="7"/>
    <x v="6"/>
    <x v="302"/>
    <x v="302"/>
    <n v="-24.97"/>
  </r>
  <r>
    <s v="7"/>
    <x v="6"/>
    <x v="303"/>
    <x v="303"/>
    <n v="-15.88"/>
  </r>
  <r>
    <s v="7"/>
    <x v="6"/>
    <x v="304"/>
    <x v="304"/>
    <n v="2.3199999999999998"/>
  </r>
  <r>
    <s v="7"/>
    <x v="6"/>
    <x v="305"/>
    <x v="305"/>
    <n v="7.66"/>
  </r>
  <r>
    <s v="7"/>
    <x v="6"/>
    <x v="306"/>
    <x v="306"/>
    <n v="24.01"/>
  </r>
  <r>
    <s v="7"/>
    <x v="6"/>
    <x v="307"/>
    <x v="307"/>
    <n v="10.43"/>
  </r>
  <r>
    <s v="7"/>
    <x v="6"/>
    <x v="308"/>
    <x v="308"/>
    <n v="21.41"/>
  </r>
  <r>
    <s v="7"/>
    <x v="6"/>
    <x v="309"/>
    <x v="309"/>
    <n v="14.77"/>
  </r>
  <r>
    <s v="7"/>
    <x v="6"/>
    <x v="310"/>
    <x v="310"/>
    <n v="-2.06"/>
  </r>
  <r>
    <s v="7"/>
    <x v="6"/>
    <x v="311"/>
    <x v="311"/>
    <n v="11.04"/>
  </r>
  <r>
    <s v="7"/>
    <x v="6"/>
    <x v="312"/>
    <x v="312"/>
    <n v="-17.809999999999999"/>
  </r>
  <r>
    <s v="7"/>
    <x v="6"/>
    <x v="313"/>
    <x v="313"/>
    <n v="-23.03"/>
  </r>
  <r>
    <s v="7"/>
    <x v="6"/>
    <x v="314"/>
    <x v="314"/>
    <n v="-14.38"/>
  </r>
  <r>
    <s v="7"/>
    <x v="6"/>
    <x v="315"/>
    <x v="315"/>
    <n v="-27.18"/>
  </r>
  <r>
    <s v="7"/>
    <x v="6"/>
    <x v="316"/>
    <x v="316"/>
    <n v="-14.01"/>
  </r>
  <r>
    <s v="7"/>
    <x v="6"/>
    <x v="317"/>
    <x v="317"/>
    <n v="-12.72"/>
  </r>
  <r>
    <s v="8"/>
    <x v="7"/>
    <x v="318"/>
    <x v="318"/>
    <m/>
  </r>
  <r>
    <s v="8"/>
    <x v="7"/>
    <x v="319"/>
    <x v="319"/>
    <m/>
  </r>
  <r>
    <s v="8"/>
    <x v="7"/>
    <x v="320"/>
    <x v="320"/>
    <m/>
  </r>
  <r>
    <s v="8"/>
    <x v="7"/>
    <x v="321"/>
    <x v="321"/>
    <m/>
  </r>
  <r>
    <s v="8"/>
    <x v="7"/>
    <x v="322"/>
    <x v="322"/>
    <n v="5.36"/>
  </r>
  <r>
    <s v="8"/>
    <x v="7"/>
    <x v="323"/>
    <x v="323"/>
    <n v="5.13"/>
  </r>
  <r>
    <s v="8"/>
    <x v="7"/>
    <x v="324"/>
    <x v="324"/>
    <n v="5.42"/>
  </r>
  <r>
    <s v="8"/>
    <x v="7"/>
    <x v="325"/>
    <x v="325"/>
    <n v="7.08"/>
  </r>
  <r>
    <s v="8"/>
    <x v="7"/>
    <x v="326"/>
    <x v="326"/>
    <n v="9.75"/>
  </r>
  <r>
    <s v="8"/>
    <x v="7"/>
    <x v="327"/>
    <x v="327"/>
    <n v="13.34"/>
  </r>
  <r>
    <s v="8"/>
    <x v="7"/>
    <x v="328"/>
    <x v="328"/>
    <n v="15.87"/>
  </r>
  <r>
    <s v="8"/>
    <x v="7"/>
    <x v="329"/>
    <x v="329"/>
    <n v="12.82"/>
  </r>
  <r>
    <s v="8"/>
    <x v="7"/>
    <x v="330"/>
    <x v="330"/>
    <n v="10.9"/>
  </r>
  <r>
    <s v="8"/>
    <x v="7"/>
    <x v="331"/>
    <x v="331"/>
    <n v="10.02"/>
  </r>
  <r>
    <s v="8"/>
    <x v="7"/>
    <x v="332"/>
    <x v="332"/>
    <n v="9.07"/>
  </r>
  <r>
    <s v="8"/>
    <x v="7"/>
    <x v="333"/>
    <x v="333"/>
    <n v="9.67"/>
  </r>
  <r>
    <s v="8"/>
    <x v="7"/>
    <x v="334"/>
    <x v="334"/>
    <n v="9.7799999999999994"/>
  </r>
  <r>
    <s v="8"/>
    <x v="7"/>
    <x v="335"/>
    <x v="335"/>
    <n v="7.45"/>
  </r>
  <r>
    <s v="8"/>
    <x v="7"/>
    <x v="336"/>
    <x v="336"/>
    <n v="4.09"/>
  </r>
  <r>
    <s v="8"/>
    <x v="7"/>
    <x v="337"/>
    <x v="337"/>
    <n v="2.5099999999999998"/>
  </r>
  <r>
    <s v="8"/>
    <x v="7"/>
    <x v="338"/>
    <x v="338"/>
    <n v="0.28999999999999998"/>
  </r>
  <r>
    <s v="8"/>
    <x v="7"/>
    <x v="339"/>
    <x v="339"/>
    <n v="-1.58"/>
  </r>
  <r>
    <s v="8"/>
    <x v="7"/>
    <x v="340"/>
    <x v="340"/>
    <n v="-1.8"/>
  </r>
  <r>
    <s v="8"/>
    <x v="7"/>
    <x v="341"/>
    <x v="341"/>
    <n v="-2.31"/>
  </r>
  <r>
    <s v="8"/>
    <x v="7"/>
    <x v="342"/>
    <x v="342"/>
    <n v="-1.49"/>
  </r>
  <r>
    <s v="8"/>
    <x v="7"/>
    <x v="343"/>
    <x v="343"/>
    <n v="-1.66"/>
  </r>
  <r>
    <s v="8"/>
    <x v="7"/>
    <x v="344"/>
    <x v="344"/>
    <n v="-4.45"/>
  </r>
  <r>
    <s v="8"/>
    <x v="7"/>
    <x v="345"/>
    <x v="345"/>
    <n v="-6.84"/>
  </r>
  <r>
    <s v="8"/>
    <x v="7"/>
    <x v="346"/>
    <x v="346"/>
    <n v="-5.03"/>
  </r>
  <r>
    <s v="8"/>
    <x v="7"/>
    <x v="347"/>
    <x v="347"/>
    <n v="0.08"/>
  </r>
  <r>
    <s v="8"/>
    <x v="7"/>
    <x v="348"/>
    <x v="348"/>
    <n v="6.56"/>
  </r>
  <r>
    <s v="8"/>
    <x v="7"/>
    <x v="349"/>
    <x v="349"/>
    <n v="11.28"/>
  </r>
  <r>
    <s v="8"/>
    <x v="7"/>
    <x v="0"/>
    <x v="0"/>
    <n v="9.58"/>
  </r>
  <r>
    <s v="8"/>
    <x v="7"/>
    <x v="1"/>
    <x v="1"/>
    <n v="5.6"/>
  </r>
  <r>
    <s v="8"/>
    <x v="7"/>
    <x v="2"/>
    <x v="2"/>
    <n v="3.29"/>
  </r>
  <r>
    <s v="8"/>
    <x v="7"/>
    <x v="3"/>
    <x v="3"/>
    <n v="2.78"/>
  </r>
  <r>
    <s v="8"/>
    <x v="7"/>
    <x v="4"/>
    <x v="4"/>
    <n v="2.4500000000000002"/>
  </r>
  <r>
    <s v="8"/>
    <x v="7"/>
    <x v="5"/>
    <x v="5"/>
    <n v="2.4900000000000002"/>
  </r>
  <r>
    <s v="8"/>
    <x v="7"/>
    <x v="6"/>
    <x v="6"/>
    <n v="2.82"/>
  </r>
  <r>
    <s v="8"/>
    <x v="7"/>
    <x v="7"/>
    <x v="7"/>
    <n v="1.49"/>
  </r>
  <r>
    <s v="8"/>
    <x v="7"/>
    <x v="8"/>
    <x v="8"/>
    <n v="-0.37"/>
  </r>
  <r>
    <s v="8"/>
    <x v="7"/>
    <x v="9"/>
    <x v="9"/>
    <n v="-1.68"/>
  </r>
  <r>
    <s v="8"/>
    <x v="7"/>
    <x v="10"/>
    <x v="10"/>
    <n v="-3.46"/>
  </r>
  <r>
    <s v="8"/>
    <x v="7"/>
    <x v="11"/>
    <x v="11"/>
    <n v="-4.25"/>
  </r>
  <r>
    <s v="8"/>
    <x v="7"/>
    <x v="12"/>
    <x v="12"/>
    <n v="-1.97"/>
  </r>
  <r>
    <s v="8"/>
    <x v="7"/>
    <x v="13"/>
    <x v="13"/>
    <n v="1.69"/>
  </r>
  <r>
    <s v="8"/>
    <x v="7"/>
    <x v="14"/>
    <x v="14"/>
    <n v="5.46"/>
  </r>
  <r>
    <s v="8"/>
    <x v="7"/>
    <x v="15"/>
    <x v="15"/>
    <n v="8.1999999999999993"/>
  </r>
  <r>
    <s v="8"/>
    <x v="7"/>
    <x v="16"/>
    <x v="16"/>
    <n v="9.15"/>
  </r>
  <r>
    <s v="8"/>
    <x v="7"/>
    <x v="17"/>
    <x v="17"/>
    <n v="7.22"/>
  </r>
  <r>
    <s v="8"/>
    <x v="7"/>
    <x v="18"/>
    <x v="18"/>
    <n v="4.3"/>
  </r>
  <r>
    <s v="8"/>
    <x v="7"/>
    <x v="19"/>
    <x v="19"/>
    <n v="2.94"/>
  </r>
  <r>
    <s v="8"/>
    <x v="7"/>
    <x v="20"/>
    <x v="20"/>
    <n v="1.81"/>
  </r>
  <r>
    <s v="8"/>
    <x v="7"/>
    <x v="21"/>
    <x v="21"/>
    <n v="1.1599999999999999"/>
  </r>
  <r>
    <s v="8"/>
    <x v="7"/>
    <x v="22"/>
    <x v="22"/>
    <n v="1.64"/>
  </r>
  <r>
    <s v="8"/>
    <x v="7"/>
    <x v="23"/>
    <x v="23"/>
    <n v="3.54"/>
  </r>
  <r>
    <s v="8"/>
    <x v="7"/>
    <x v="24"/>
    <x v="24"/>
    <n v="3.88"/>
  </r>
  <r>
    <s v="8"/>
    <x v="7"/>
    <x v="25"/>
    <x v="25"/>
    <n v="4.05"/>
  </r>
  <r>
    <s v="8"/>
    <x v="7"/>
    <x v="26"/>
    <x v="26"/>
    <n v="3.42"/>
  </r>
  <r>
    <s v="8"/>
    <x v="7"/>
    <x v="27"/>
    <x v="27"/>
    <n v="0.18"/>
  </r>
  <r>
    <s v="8"/>
    <x v="7"/>
    <x v="28"/>
    <x v="28"/>
    <n v="-1.95"/>
  </r>
  <r>
    <s v="8"/>
    <x v="7"/>
    <x v="29"/>
    <x v="29"/>
    <n v="-2.91"/>
  </r>
  <r>
    <s v="8"/>
    <x v="7"/>
    <x v="30"/>
    <x v="30"/>
    <n v="-3.2"/>
  </r>
  <r>
    <s v="8"/>
    <x v="7"/>
    <x v="31"/>
    <x v="31"/>
    <n v="-1.6"/>
  </r>
  <r>
    <s v="8"/>
    <x v="7"/>
    <x v="32"/>
    <x v="32"/>
    <n v="0.74"/>
  </r>
  <r>
    <s v="8"/>
    <x v="7"/>
    <x v="33"/>
    <x v="33"/>
    <n v="3.07"/>
  </r>
  <r>
    <s v="8"/>
    <x v="7"/>
    <x v="34"/>
    <x v="34"/>
    <n v="4.6500000000000004"/>
  </r>
  <r>
    <s v="8"/>
    <x v="7"/>
    <x v="35"/>
    <x v="35"/>
    <n v="5"/>
  </r>
  <r>
    <s v="8"/>
    <x v="7"/>
    <x v="36"/>
    <x v="36"/>
    <n v="4.92"/>
  </r>
  <r>
    <s v="8"/>
    <x v="7"/>
    <x v="37"/>
    <x v="37"/>
    <n v="3.9"/>
  </r>
  <r>
    <s v="8"/>
    <x v="7"/>
    <x v="38"/>
    <x v="38"/>
    <n v="2.4900000000000002"/>
  </r>
  <r>
    <s v="8"/>
    <x v="7"/>
    <x v="39"/>
    <x v="39"/>
    <n v="2.39"/>
  </r>
  <r>
    <s v="8"/>
    <x v="7"/>
    <x v="40"/>
    <x v="40"/>
    <n v="1.73"/>
  </r>
  <r>
    <s v="8"/>
    <x v="7"/>
    <x v="41"/>
    <x v="41"/>
    <n v="1.26"/>
  </r>
  <r>
    <s v="8"/>
    <x v="7"/>
    <x v="42"/>
    <x v="42"/>
    <n v="1.27"/>
  </r>
  <r>
    <s v="8"/>
    <x v="7"/>
    <x v="43"/>
    <x v="43"/>
    <n v="-0.52"/>
  </r>
  <r>
    <s v="8"/>
    <x v="7"/>
    <x v="44"/>
    <x v="44"/>
    <n v="-2.63"/>
  </r>
  <r>
    <s v="8"/>
    <x v="7"/>
    <x v="45"/>
    <x v="45"/>
    <n v="-4.1399999999999997"/>
  </r>
  <r>
    <s v="8"/>
    <x v="7"/>
    <x v="46"/>
    <x v="46"/>
    <n v="-3.4"/>
  </r>
  <r>
    <s v="8"/>
    <x v="7"/>
    <x v="47"/>
    <x v="47"/>
    <n v="-1.39"/>
  </r>
  <r>
    <s v="8"/>
    <x v="7"/>
    <x v="48"/>
    <x v="48"/>
    <n v="2.08"/>
  </r>
  <r>
    <s v="8"/>
    <x v="7"/>
    <x v="49"/>
    <x v="49"/>
    <n v="5.04"/>
  </r>
  <r>
    <s v="8"/>
    <x v="7"/>
    <x v="50"/>
    <x v="50"/>
    <n v="4.42"/>
  </r>
  <r>
    <s v="8"/>
    <x v="7"/>
    <x v="51"/>
    <x v="51"/>
    <n v="3.63"/>
  </r>
  <r>
    <s v="8"/>
    <x v="7"/>
    <x v="52"/>
    <x v="52"/>
    <n v="3.2"/>
  </r>
  <r>
    <s v="8"/>
    <x v="7"/>
    <x v="53"/>
    <x v="53"/>
    <n v="1.92"/>
  </r>
  <r>
    <s v="8"/>
    <x v="7"/>
    <x v="54"/>
    <x v="54"/>
    <n v="1.39"/>
  </r>
  <r>
    <s v="8"/>
    <x v="7"/>
    <x v="55"/>
    <x v="55"/>
    <n v="0.42"/>
  </r>
  <r>
    <s v="8"/>
    <x v="7"/>
    <x v="56"/>
    <x v="56"/>
    <n v="-1.43"/>
  </r>
  <r>
    <s v="8"/>
    <x v="7"/>
    <x v="57"/>
    <x v="57"/>
    <n v="-1.37"/>
  </r>
  <r>
    <s v="8"/>
    <x v="7"/>
    <x v="58"/>
    <x v="58"/>
    <n v="0"/>
  </r>
  <r>
    <s v="8"/>
    <x v="7"/>
    <x v="59"/>
    <x v="59"/>
    <n v="1.42"/>
  </r>
  <r>
    <s v="8"/>
    <x v="7"/>
    <x v="60"/>
    <x v="60"/>
    <n v="2.77"/>
  </r>
  <r>
    <s v="8"/>
    <x v="7"/>
    <x v="61"/>
    <x v="61"/>
    <n v="3.4"/>
  </r>
  <r>
    <s v="8"/>
    <x v="7"/>
    <x v="62"/>
    <x v="62"/>
    <n v="2.92"/>
  </r>
  <r>
    <s v="8"/>
    <x v="7"/>
    <x v="63"/>
    <x v="63"/>
    <n v="2.4300000000000002"/>
  </r>
  <r>
    <s v="8"/>
    <x v="7"/>
    <x v="64"/>
    <x v="64"/>
    <n v="2"/>
  </r>
  <r>
    <s v="8"/>
    <x v="7"/>
    <x v="65"/>
    <x v="65"/>
    <n v="1.79"/>
  </r>
  <r>
    <s v="8"/>
    <x v="7"/>
    <x v="66"/>
    <x v="66"/>
    <n v="1.92"/>
  </r>
  <r>
    <s v="8"/>
    <x v="7"/>
    <x v="67"/>
    <x v="67"/>
    <n v="2.2400000000000002"/>
  </r>
  <r>
    <s v="8"/>
    <x v="7"/>
    <x v="68"/>
    <x v="68"/>
    <n v="2.65"/>
  </r>
  <r>
    <s v="8"/>
    <x v="7"/>
    <x v="69"/>
    <x v="69"/>
    <n v="2.58"/>
  </r>
  <r>
    <s v="8"/>
    <x v="7"/>
    <x v="70"/>
    <x v="70"/>
    <n v="3.02"/>
  </r>
  <r>
    <s v="8"/>
    <x v="7"/>
    <x v="71"/>
    <x v="71"/>
    <n v="3.22"/>
  </r>
  <r>
    <s v="8"/>
    <x v="7"/>
    <x v="72"/>
    <x v="72"/>
    <n v="3.61"/>
  </r>
  <r>
    <s v="8"/>
    <x v="7"/>
    <x v="73"/>
    <x v="73"/>
    <n v="4.1399999999999997"/>
  </r>
  <r>
    <s v="8"/>
    <x v="7"/>
    <x v="74"/>
    <x v="74"/>
    <n v="4.4000000000000004"/>
  </r>
  <r>
    <s v="8"/>
    <x v="7"/>
    <x v="75"/>
    <x v="75"/>
    <n v="4.8499999999999996"/>
  </r>
  <r>
    <s v="8"/>
    <x v="7"/>
    <x v="76"/>
    <x v="76"/>
    <n v="5.09"/>
  </r>
  <r>
    <s v="8"/>
    <x v="7"/>
    <x v="77"/>
    <x v="77"/>
    <n v="5.41"/>
  </r>
  <r>
    <s v="8"/>
    <x v="7"/>
    <x v="78"/>
    <x v="78"/>
    <n v="5.32"/>
  </r>
  <r>
    <s v="8"/>
    <x v="7"/>
    <x v="79"/>
    <x v="79"/>
    <n v="4.8600000000000003"/>
  </r>
  <r>
    <s v="8"/>
    <x v="7"/>
    <x v="80"/>
    <x v="80"/>
    <n v="4.16"/>
  </r>
  <r>
    <s v="8"/>
    <x v="7"/>
    <x v="81"/>
    <x v="81"/>
    <n v="2.92"/>
  </r>
  <r>
    <s v="8"/>
    <x v="7"/>
    <x v="82"/>
    <x v="82"/>
    <n v="2.4500000000000002"/>
  </r>
  <r>
    <s v="8"/>
    <x v="7"/>
    <x v="83"/>
    <x v="83"/>
    <n v="2.44"/>
  </r>
  <r>
    <s v="8"/>
    <x v="7"/>
    <x v="84"/>
    <x v="84"/>
    <n v="2.52"/>
  </r>
  <r>
    <s v="8"/>
    <x v="7"/>
    <x v="85"/>
    <x v="85"/>
    <n v="3.19"/>
  </r>
  <r>
    <s v="8"/>
    <x v="7"/>
    <x v="86"/>
    <x v="86"/>
    <n v="3.4"/>
  </r>
  <r>
    <s v="8"/>
    <x v="7"/>
    <x v="87"/>
    <x v="87"/>
    <n v="3.57"/>
  </r>
  <r>
    <s v="8"/>
    <x v="7"/>
    <x v="88"/>
    <x v="88"/>
    <n v="3.84"/>
  </r>
  <r>
    <s v="8"/>
    <x v="7"/>
    <x v="89"/>
    <x v="89"/>
    <n v="3.9"/>
  </r>
  <r>
    <s v="8"/>
    <x v="7"/>
    <x v="90"/>
    <x v="90"/>
    <n v="3.76"/>
  </r>
  <r>
    <s v="8"/>
    <x v="7"/>
    <x v="91"/>
    <x v="91"/>
    <n v="3.14"/>
  </r>
  <r>
    <s v="8"/>
    <x v="7"/>
    <x v="92"/>
    <x v="92"/>
    <n v="2.34"/>
  </r>
  <r>
    <s v="8"/>
    <x v="7"/>
    <x v="93"/>
    <x v="93"/>
    <n v="1.17"/>
  </r>
  <r>
    <s v="8"/>
    <x v="7"/>
    <x v="94"/>
    <x v="94"/>
    <n v="0.13"/>
  </r>
  <r>
    <s v="8"/>
    <x v="7"/>
    <x v="95"/>
    <x v="95"/>
    <n v="-0.81"/>
  </r>
  <r>
    <s v="8"/>
    <x v="7"/>
    <x v="96"/>
    <x v="96"/>
    <n v="-0.65"/>
  </r>
  <r>
    <s v="8"/>
    <x v="7"/>
    <x v="97"/>
    <x v="97"/>
    <n v="0.02"/>
  </r>
  <r>
    <s v="8"/>
    <x v="7"/>
    <x v="98"/>
    <x v="98"/>
    <n v="0.64"/>
  </r>
  <r>
    <s v="8"/>
    <x v="7"/>
    <x v="99"/>
    <x v="99"/>
    <n v="1.83"/>
  </r>
  <r>
    <s v="8"/>
    <x v="7"/>
    <x v="100"/>
    <x v="100"/>
    <n v="2.59"/>
  </r>
  <r>
    <s v="8"/>
    <x v="7"/>
    <x v="101"/>
    <x v="101"/>
    <n v="3.21"/>
  </r>
  <r>
    <s v="8"/>
    <x v="7"/>
    <x v="102"/>
    <x v="102"/>
    <n v="3.65"/>
  </r>
  <r>
    <s v="8"/>
    <x v="7"/>
    <x v="103"/>
    <x v="103"/>
    <n v="4.32"/>
  </r>
  <r>
    <s v="8"/>
    <x v="7"/>
    <x v="104"/>
    <x v="104"/>
    <n v="4.53"/>
  </r>
  <r>
    <s v="8"/>
    <x v="7"/>
    <x v="105"/>
    <x v="105"/>
    <n v="4.3600000000000003"/>
  </r>
  <r>
    <s v="8"/>
    <x v="7"/>
    <x v="106"/>
    <x v="106"/>
    <n v="4.16"/>
  </r>
  <r>
    <s v="8"/>
    <x v="7"/>
    <x v="107"/>
    <x v="107"/>
    <n v="3.84"/>
  </r>
  <r>
    <s v="8"/>
    <x v="7"/>
    <x v="108"/>
    <x v="108"/>
    <n v="2.96"/>
  </r>
  <r>
    <s v="8"/>
    <x v="7"/>
    <x v="109"/>
    <x v="109"/>
    <n v="2.41"/>
  </r>
  <r>
    <s v="8"/>
    <x v="7"/>
    <x v="110"/>
    <x v="110"/>
    <n v="1.95"/>
  </r>
  <r>
    <s v="8"/>
    <x v="7"/>
    <x v="111"/>
    <x v="111"/>
    <n v="0.42"/>
  </r>
  <r>
    <s v="8"/>
    <x v="7"/>
    <x v="112"/>
    <x v="112"/>
    <n v="-1.62"/>
  </r>
  <r>
    <s v="8"/>
    <x v="7"/>
    <x v="113"/>
    <x v="113"/>
    <n v="-2.52"/>
  </r>
  <r>
    <s v="8"/>
    <x v="7"/>
    <x v="114"/>
    <x v="114"/>
    <n v="-2"/>
  </r>
  <r>
    <s v="8"/>
    <x v="7"/>
    <x v="115"/>
    <x v="115"/>
    <n v="-0.56000000000000005"/>
  </r>
  <r>
    <s v="8"/>
    <x v="7"/>
    <x v="116"/>
    <x v="116"/>
    <n v="2.39"/>
  </r>
  <r>
    <s v="8"/>
    <x v="7"/>
    <x v="117"/>
    <x v="117"/>
    <n v="3.65"/>
  </r>
  <r>
    <s v="8"/>
    <x v="7"/>
    <x v="118"/>
    <x v="118"/>
    <n v="3.46"/>
  </r>
  <r>
    <s v="8"/>
    <x v="7"/>
    <x v="119"/>
    <x v="119"/>
    <n v="3.15"/>
  </r>
  <r>
    <s v="8"/>
    <x v="7"/>
    <x v="120"/>
    <x v="120"/>
    <n v="2.84"/>
  </r>
  <r>
    <s v="8"/>
    <x v="7"/>
    <x v="121"/>
    <x v="121"/>
    <n v="3.5"/>
  </r>
  <r>
    <s v="8"/>
    <x v="7"/>
    <x v="122"/>
    <x v="122"/>
    <n v="4.3099999999999996"/>
  </r>
  <r>
    <s v="8"/>
    <x v="7"/>
    <x v="123"/>
    <x v="123"/>
    <n v="4.9000000000000004"/>
  </r>
  <r>
    <s v="8"/>
    <x v="7"/>
    <x v="124"/>
    <x v="124"/>
    <n v="4.91"/>
  </r>
  <r>
    <s v="8"/>
    <x v="7"/>
    <x v="125"/>
    <x v="125"/>
    <n v="5.41"/>
  </r>
  <r>
    <s v="8"/>
    <x v="7"/>
    <x v="126"/>
    <x v="126"/>
    <n v="5.16"/>
  </r>
  <r>
    <s v="8"/>
    <x v="7"/>
    <x v="127"/>
    <x v="127"/>
    <n v="5.01"/>
  </r>
  <r>
    <s v="8"/>
    <x v="7"/>
    <x v="128"/>
    <x v="128"/>
    <n v="4.84"/>
  </r>
  <r>
    <s v="8"/>
    <x v="7"/>
    <x v="129"/>
    <x v="129"/>
    <n v="3.73"/>
  </r>
  <r>
    <s v="8"/>
    <x v="7"/>
    <x v="130"/>
    <x v="130"/>
    <n v="3.25"/>
  </r>
  <r>
    <s v="8"/>
    <x v="7"/>
    <x v="131"/>
    <x v="131"/>
    <n v="2.5299999999999998"/>
  </r>
  <r>
    <s v="8"/>
    <x v="7"/>
    <x v="132"/>
    <x v="132"/>
    <n v="2"/>
  </r>
  <r>
    <s v="8"/>
    <x v="7"/>
    <x v="133"/>
    <x v="133"/>
    <n v="0.76"/>
  </r>
  <r>
    <s v="8"/>
    <x v="7"/>
    <x v="134"/>
    <x v="134"/>
    <n v="-0.26"/>
  </r>
  <r>
    <s v="8"/>
    <x v="7"/>
    <x v="135"/>
    <x v="135"/>
    <n v="0.17"/>
  </r>
  <r>
    <s v="8"/>
    <x v="7"/>
    <x v="136"/>
    <x v="136"/>
    <n v="0.25"/>
  </r>
  <r>
    <s v="8"/>
    <x v="7"/>
    <x v="137"/>
    <x v="137"/>
    <n v="0.99"/>
  </r>
  <r>
    <s v="8"/>
    <x v="7"/>
    <x v="138"/>
    <x v="138"/>
    <n v="1.66"/>
  </r>
  <r>
    <s v="8"/>
    <x v="7"/>
    <x v="139"/>
    <x v="139"/>
    <n v="0.47"/>
  </r>
  <r>
    <s v="8"/>
    <x v="7"/>
    <x v="140"/>
    <x v="140"/>
    <n v="-0.65"/>
  </r>
  <r>
    <s v="8"/>
    <x v="7"/>
    <x v="141"/>
    <x v="141"/>
    <n v="-1.44"/>
  </r>
  <r>
    <s v="8"/>
    <x v="7"/>
    <x v="142"/>
    <x v="142"/>
    <n v="-2.39"/>
  </r>
  <r>
    <s v="8"/>
    <x v="7"/>
    <x v="143"/>
    <x v="143"/>
    <n v="-2.5499999999999998"/>
  </r>
  <r>
    <s v="8"/>
    <x v="7"/>
    <x v="144"/>
    <x v="144"/>
    <n v="-1.68"/>
  </r>
  <r>
    <s v="8"/>
    <x v="7"/>
    <x v="145"/>
    <x v="145"/>
    <n v="-0.4"/>
  </r>
  <r>
    <s v="8"/>
    <x v="7"/>
    <x v="146"/>
    <x v="146"/>
    <n v="1.4"/>
  </r>
  <r>
    <s v="8"/>
    <x v="7"/>
    <x v="147"/>
    <x v="147"/>
    <n v="3.44"/>
  </r>
  <r>
    <s v="8"/>
    <x v="7"/>
    <x v="148"/>
    <x v="148"/>
    <n v="4.59"/>
  </r>
  <r>
    <s v="8"/>
    <x v="7"/>
    <x v="149"/>
    <x v="149"/>
    <n v="4.96"/>
  </r>
  <r>
    <s v="8"/>
    <x v="7"/>
    <x v="150"/>
    <x v="150"/>
    <n v="4.91"/>
  </r>
  <r>
    <s v="8"/>
    <x v="7"/>
    <x v="151"/>
    <x v="151"/>
    <n v="4.3899999999999997"/>
  </r>
  <r>
    <s v="8"/>
    <x v="7"/>
    <x v="152"/>
    <x v="152"/>
    <n v="3.74"/>
  </r>
  <r>
    <s v="8"/>
    <x v="7"/>
    <x v="153"/>
    <x v="153"/>
    <n v="3.34"/>
  </r>
  <r>
    <s v="8"/>
    <x v="7"/>
    <x v="154"/>
    <x v="154"/>
    <n v="2.93"/>
  </r>
  <r>
    <s v="8"/>
    <x v="7"/>
    <x v="155"/>
    <x v="155"/>
    <n v="2.63"/>
  </r>
  <r>
    <s v="8"/>
    <x v="7"/>
    <x v="156"/>
    <x v="156"/>
    <n v="2.35"/>
  </r>
  <r>
    <s v="8"/>
    <x v="7"/>
    <x v="157"/>
    <x v="157"/>
    <n v="1.96"/>
  </r>
  <r>
    <s v="8"/>
    <x v="7"/>
    <x v="158"/>
    <x v="158"/>
    <n v="1.86"/>
  </r>
  <r>
    <s v="8"/>
    <x v="7"/>
    <x v="159"/>
    <x v="159"/>
    <n v="1.91"/>
  </r>
  <r>
    <s v="8"/>
    <x v="7"/>
    <x v="160"/>
    <x v="160"/>
    <n v="2.11"/>
  </r>
  <r>
    <s v="8"/>
    <x v="7"/>
    <x v="161"/>
    <x v="161"/>
    <n v="2.56"/>
  </r>
  <r>
    <s v="8"/>
    <x v="7"/>
    <x v="162"/>
    <x v="162"/>
    <n v="2.78"/>
  </r>
  <r>
    <s v="8"/>
    <x v="7"/>
    <x v="163"/>
    <x v="163"/>
    <n v="3.07"/>
  </r>
  <r>
    <s v="8"/>
    <x v="7"/>
    <x v="164"/>
    <x v="164"/>
    <n v="3.2"/>
  </r>
  <r>
    <s v="8"/>
    <x v="7"/>
    <x v="165"/>
    <x v="165"/>
    <n v="3.24"/>
  </r>
  <r>
    <s v="8"/>
    <x v="7"/>
    <x v="166"/>
    <x v="166"/>
    <n v="3.23"/>
  </r>
  <r>
    <s v="8"/>
    <x v="7"/>
    <x v="167"/>
    <x v="167"/>
    <n v="3.1"/>
  </r>
  <r>
    <s v="8"/>
    <x v="7"/>
    <x v="168"/>
    <x v="168"/>
    <n v="3.12"/>
  </r>
  <r>
    <s v="8"/>
    <x v="7"/>
    <x v="169"/>
    <x v="169"/>
    <n v="2.77"/>
  </r>
  <r>
    <s v="8"/>
    <x v="7"/>
    <x v="170"/>
    <x v="170"/>
    <n v="2.31"/>
  </r>
  <r>
    <s v="8"/>
    <x v="7"/>
    <x v="171"/>
    <x v="171"/>
    <n v="1.96"/>
  </r>
  <r>
    <s v="8"/>
    <x v="7"/>
    <x v="172"/>
    <x v="172"/>
    <n v="1.88"/>
  </r>
  <r>
    <s v="8"/>
    <x v="7"/>
    <x v="173"/>
    <x v="173"/>
    <n v="1.74"/>
  </r>
  <r>
    <s v="8"/>
    <x v="7"/>
    <x v="174"/>
    <x v="174"/>
    <n v="1.35"/>
  </r>
  <r>
    <s v="8"/>
    <x v="7"/>
    <x v="175"/>
    <x v="175"/>
    <n v="0.52"/>
  </r>
  <r>
    <s v="8"/>
    <x v="7"/>
    <x v="176"/>
    <x v="176"/>
    <n v="-0.57999999999999996"/>
  </r>
  <r>
    <s v="8"/>
    <x v="7"/>
    <x v="177"/>
    <x v="177"/>
    <n v="-1.34"/>
  </r>
  <r>
    <s v="8"/>
    <x v="7"/>
    <x v="178"/>
    <x v="178"/>
    <n v="-1.22"/>
  </r>
  <r>
    <s v="8"/>
    <x v="7"/>
    <x v="179"/>
    <x v="179"/>
    <n v="-0.85"/>
  </r>
  <r>
    <s v="8"/>
    <x v="7"/>
    <x v="180"/>
    <x v="180"/>
    <n v="-0.4"/>
  </r>
  <r>
    <s v="8"/>
    <x v="7"/>
    <x v="181"/>
    <x v="181"/>
    <n v="0.28999999999999998"/>
  </r>
  <r>
    <s v="8"/>
    <x v="7"/>
    <x v="182"/>
    <x v="182"/>
    <n v="0.53"/>
  </r>
  <r>
    <s v="8"/>
    <x v="7"/>
    <x v="183"/>
    <x v="183"/>
    <n v="0.9"/>
  </r>
  <r>
    <s v="8"/>
    <x v="7"/>
    <x v="184"/>
    <x v="184"/>
    <n v="1.48"/>
  </r>
  <r>
    <s v="8"/>
    <x v="7"/>
    <x v="185"/>
    <x v="185"/>
    <n v="1.76"/>
  </r>
  <r>
    <s v="8"/>
    <x v="7"/>
    <x v="186"/>
    <x v="186"/>
    <n v="2.16"/>
  </r>
  <r>
    <s v="8"/>
    <x v="7"/>
    <x v="187"/>
    <x v="187"/>
    <n v="2.48"/>
  </r>
  <r>
    <s v="8"/>
    <x v="7"/>
    <x v="188"/>
    <x v="188"/>
    <n v="2.66"/>
  </r>
  <r>
    <s v="8"/>
    <x v="7"/>
    <x v="189"/>
    <x v="189"/>
    <n v="3.06"/>
  </r>
  <r>
    <s v="8"/>
    <x v="7"/>
    <x v="190"/>
    <x v="190"/>
    <n v="3.31"/>
  </r>
  <r>
    <s v="8"/>
    <x v="7"/>
    <x v="191"/>
    <x v="191"/>
    <n v="3.41"/>
  </r>
  <r>
    <s v="8"/>
    <x v="7"/>
    <x v="192"/>
    <x v="192"/>
    <n v="3.39"/>
  </r>
  <r>
    <s v="8"/>
    <x v="7"/>
    <x v="193"/>
    <x v="193"/>
    <n v="2.82"/>
  </r>
  <r>
    <s v="8"/>
    <x v="7"/>
    <x v="194"/>
    <x v="194"/>
    <n v="2.36"/>
  </r>
  <r>
    <s v="8"/>
    <x v="7"/>
    <x v="195"/>
    <x v="195"/>
    <n v="2.02"/>
  </r>
  <r>
    <s v="8"/>
    <x v="7"/>
    <x v="196"/>
    <x v="196"/>
    <n v="1.7"/>
  </r>
  <r>
    <s v="8"/>
    <x v="7"/>
    <x v="197"/>
    <x v="197"/>
    <n v="2"/>
  </r>
  <r>
    <s v="8"/>
    <x v="7"/>
    <x v="198"/>
    <x v="198"/>
    <n v="2.19"/>
  </r>
  <r>
    <s v="8"/>
    <x v="7"/>
    <x v="199"/>
    <x v="199"/>
    <n v="2.3199999999999998"/>
  </r>
  <r>
    <s v="8"/>
    <x v="7"/>
    <x v="200"/>
    <x v="200"/>
    <n v="2.52"/>
  </r>
  <r>
    <s v="8"/>
    <x v="7"/>
    <x v="201"/>
    <x v="201"/>
    <n v="2.58"/>
  </r>
  <r>
    <s v="8"/>
    <x v="7"/>
    <x v="202"/>
    <x v="202"/>
    <n v="2.54"/>
  </r>
  <r>
    <s v="8"/>
    <x v="7"/>
    <x v="203"/>
    <x v="203"/>
    <n v="2.74"/>
  </r>
  <r>
    <s v="8"/>
    <x v="7"/>
    <x v="204"/>
    <x v="204"/>
    <n v="2.73"/>
  </r>
  <r>
    <s v="8"/>
    <x v="7"/>
    <x v="205"/>
    <x v="205"/>
    <n v="2.64"/>
  </r>
  <r>
    <s v="8"/>
    <x v="7"/>
    <x v="206"/>
    <x v="206"/>
    <n v="2.63"/>
  </r>
  <r>
    <s v="8"/>
    <x v="7"/>
    <x v="207"/>
    <x v="207"/>
    <n v="2.4300000000000002"/>
  </r>
  <r>
    <s v="8"/>
    <x v="7"/>
    <x v="208"/>
    <x v="208"/>
    <n v="2.42"/>
  </r>
  <r>
    <s v="8"/>
    <x v="7"/>
    <x v="209"/>
    <x v="209"/>
    <n v="2.42"/>
  </r>
  <r>
    <s v="8"/>
    <x v="7"/>
    <x v="210"/>
    <x v="210"/>
    <n v="2.44"/>
  </r>
  <r>
    <s v="8"/>
    <x v="7"/>
    <x v="211"/>
    <x v="211"/>
    <n v="2.5299999999999998"/>
  </r>
  <r>
    <s v="8"/>
    <x v="7"/>
    <x v="212"/>
    <x v="212"/>
    <n v="2.52"/>
  </r>
  <r>
    <s v="8"/>
    <x v="7"/>
    <x v="213"/>
    <x v="213"/>
    <n v="2.4700000000000002"/>
  </r>
  <r>
    <s v="8"/>
    <x v="7"/>
    <x v="214"/>
    <x v="214"/>
    <n v="2.0699999999999998"/>
  </r>
  <r>
    <s v="8"/>
    <x v="7"/>
    <x v="215"/>
    <x v="215"/>
    <n v="1.58"/>
  </r>
  <r>
    <s v="8"/>
    <x v="7"/>
    <x v="216"/>
    <x v="216"/>
    <n v="1.1399999999999999"/>
  </r>
  <r>
    <s v="8"/>
    <x v="7"/>
    <x v="217"/>
    <x v="217"/>
    <n v="0.28000000000000003"/>
  </r>
  <r>
    <s v="8"/>
    <x v="7"/>
    <x v="218"/>
    <x v="218"/>
    <n v="-0.21"/>
  </r>
  <r>
    <s v="8"/>
    <x v="7"/>
    <x v="219"/>
    <x v="219"/>
    <n v="-1.02"/>
  </r>
  <r>
    <s v="8"/>
    <x v="7"/>
    <x v="220"/>
    <x v="220"/>
    <n v="-1.49"/>
  </r>
  <r>
    <s v="8"/>
    <x v="7"/>
    <x v="221"/>
    <x v="221"/>
    <n v="-1.32"/>
  </r>
  <r>
    <s v="8"/>
    <x v="7"/>
    <x v="222"/>
    <x v="222"/>
    <n v="-1.08"/>
  </r>
  <r>
    <s v="8"/>
    <x v="7"/>
    <x v="223"/>
    <x v="223"/>
    <n v="-0.48"/>
  </r>
  <r>
    <s v="8"/>
    <x v="7"/>
    <x v="224"/>
    <x v="224"/>
    <n v="-0.27"/>
  </r>
  <r>
    <s v="8"/>
    <x v="7"/>
    <x v="225"/>
    <x v="225"/>
    <n v="-0.35"/>
  </r>
  <r>
    <s v="8"/>
    <x v="7"/>
    <x v="226"/>
    <x v="226"/>
    <n v="-0.28000000000000003"/>
  </r>
  <r>
    <s v="8"/>
    <x v="7"/>
    <x v="227"/>
    <x v="227"/>
    <n v="-0.05"/>
  </r>
  <r>
    <s v="8"/>
    <x v="7"/>
    <x v="228"/>
    <x v="228"/>
    <n v="0.38"/>
  </r>
  <r>
    <s v="8"/>
    <x v="7"/>
    <x v="229"/>
    <x v="229"/>
    <n v="1.1100000000000001"/>
  </r>
  <r>
    <s v="8"/>
    <x v="7"/>
    <x v="230"/>
    <x v="230"/>
    <n v="1.36"/>
  </r>
  <r>
    <s v="8"/>
    <x v="7"/>
    <x v="231"/>
    <x v="231"/>
    <n v="1.55"/>
  </r>
  <r>
    <s v="8"/>
    <x v="7"/>
    <x v="232"/>
    <x v="232"/>
    <n v="1.59"/>
  </r>
  <r>
    <s v="8"/>
    <x v="7"/>
    <x v="233"/>
    <x v="233"/>
    <n v="1.58"/>
  </r>
  <r>
    <s v="8"/>
    <x v="7"/>
    <x v="234"/>
    <x v="234"/>
    <n v="1.89"/>
  </r>
  <r>
    <s v="8"/>
    <x v="7"/>
    <x v="235"/>
    <x v="235"/>
    <n v="1.82"/>
  </r>
  <r>
    <s v="8"/>
    <x v="7"/>
    <x v="236"/>
    <x v="236"/>
    <n v="2.06"/>
  </r>
  <r>
    <s v="8"/>
    <x v="7"/>
    <x v="237"/>
    <x v="237"/>
    <n v="1.9"/>
  </r>
  <r>
    <s v="8"/>
    <x v="7"/>
    <x v="238"/>
    <x v="238"/>
    <n v="1.66"/>
  </r>
  <r>
    <s v="8"/>
    <x v="7"/>
    <x v="239"/>
    <x v="239"/>
    <n v="1.57"/>
  </r>
  <r>
    <s v="8"/>
    <x v="7"/>
    <x v="240"/>
    <x v="240"/>
    <n v="1.38"/>
  </r>
  <r>
    <s v="8"/>
    <x v="7"/>
    <x v="241"/>
    <x v="241"/>
    <n v="1.25"/>
  </r>
  <r>
    <s v="8"/>
    <x v="7"/>
    <x v="242"/>
    <x v="242"/>
    <n v="1"/>
  </r>
  <r>
    <s v="8"/>
    <x v="7"/>
    <x v="243"/>
    <x v="243"/>
    <n v="0.9"/>
  </r>
  <r>
    <s v="8"/>
    <x v="7"/>
    <x v="244"/>
    <x v="244"/>
    <n v="0.52"/>
  </r>
  <r>
    <s v="8"/>
    <x v="7"/>
    <x v="245"/>
    <x v="245"/>
    <n v="-0.08"/>
  </r>
  <r>
    <s v="8"/>
    <x v="7"/>
    <x v="246"/>
    <x v="246"/>
    <n v="-0.65"/>
  </r>
  <r>
    <s v="8"/>
    <x v="7"/>
    <x v="247"/>
    <x v="247"/>
    <n v="-1.97"/>
  </r>
  <r>
    <s v="8"/>
    <x v="7"/>
    <x v="248"/>
    <x v="248"/>
    <n v="-3.64"/>
  </r>
  <r>
    <s v="8"/>
    <x v="7"/>
    <x v="249"/>
    <x v="249"/>
    <n v="-4.67"/>
  </r>
  <r>
    <s v="8"/>
    <x v="7"/>
    <x v="250"/>
    <x v="250"/>
    <n v="-4.88"/>
  </r>
  <r>
    <s v="8"/>
    <x v="7"/>
    <x v="251"/>
    <x v="251"/>
    <n v="-4.12"/>
  </r>
  <r>
    <s v="8"/>
    <x v="7"/>
    <x v="252"/>
    <x v="252"/>
    <n v="-2.63"/>
  </r>
  <r>
    <s v="8"/>
    <x v="7"/>
    <x v="253"/>
    <x v="253"/>
    <n v="-0.77"/>
  </r>
  <r>
    <s v="8"/>
    <x v="7"/>
    <x v="254"/>
    <x v="254"/>
    <n v="-0.05"/>
  </r>
  <r>
    <s v="8"/>
    <x v="7"/>
    <x v="255"/>
    <x v="255"/>
    <n v="0.57999999999999996"/>
  </r>
  <r>
    <s v="8"/>
    <x v="7"/>
    <x v="256"/>
    <x v="256"/>
    <n v="0.98"/>
  </r>
  <r>
    <s v="8"/>
    <x v="7"/>
    <x v="257"/>
    <x v="257"/>
    <n v="1.01"/>
  </r>
  <r>
    <s v="8"/>
    <x v="7"/>
    <x v="258"/>
    <x v="258"/>
    <n v="1.35"/>
  </r>
  <r>
    <s v="8"/>
    <x v="7"/>
    <x v="259"/>
    <x v="259"/>
    <n v="1.51"/>
  </r>
  <r>
    <s v="8"/>
    <x v="7"/>
    <x v="260"/>
    <x v="260"/>
    <n v="1.86"/>
  </r>
  <r>
    <s v="8"/>
    <x v="7"/>
    <x v="261"/>
    <x v="261"/>
    <n v="1.65"/>
  </r>
  <r>
    <s v="8"/>
    <x v="7"/>
    <x v="262"/>
    <x v="262"/>
    <n v="1.65"/>
  </r>
  <r>
    <s v="8"/>
    <x v="7"/>
    <x v="263"/>
    <x v="263"/>
    <n v="1.62"/>
  </r>
  <r>
    <s v="8"/>
    <x v="7"/>
    <x v="264"/>
    <x v="264"/>
    <n v="1.5"/>
  </r>
  <r>
    <s v="8"/>
    <x v="7"/>
    <x v="265"/>
    <x v="265"/>
    <n v="1.61"/>
  </r>
  <r>
    <s v="8"/>
    <x v="7"/>
    <x v="266"/>
    <x v="266"/>
    <n v="1.7"/>
  </r>
  <r>
    <s v="8"/>
    <x v="7"/>
    <x v="267"/>
    <x v="267"/>
    <n v="1.77"/>
  </r>
  <r>
    <s v="8"/>
    <x v="7"/>
    <x v="268"/>
    <x v="268"/>
    <n v="1.66"/>
  </r>
  <r>
    <s v="8"/>
    <x v="7"/>
    <x v="269"/>
    <x v="269"/>
    <n v="1.82"/>
  </r>
  <r>
    <s v="8"/>
    <x v="7"/>
    <x v="270"/>
    <x v="270"/>
    <n v="1.96"/>
  </r>
  <r>
    <s v="8"/>
    <x v="7"/>
    <x v="271"/>
    <x v="271"/>
    <n v="2.0699999999999998"/>
  </r>
  <r>
    <s v="8"/>
    <x v="7"/>
    <x v="272"/>
    <x v="272"/>
    <n v="2.19"/>
  </r>
  <r>
    <s v="8"/>
    <x v="7"/>
    <x v="273"/>
    <x v="273"/>
    <n v="2.11"/>
  </r>
  <r>
    <s v="8"/>
    <x v="7"/>
    <x v="274"/>
    <x v="274"/>
    <n v="2.0299999999999998"/>
  </r>
  <r>
    <s v="8"/>
    <x v="7"/>
    <x v="275"/>
    <x v="275"/>
    <n v="1.95"/>
  </r>
  <r>
    <s v="8"/>
    <x v="7"/>
    <x v="276"/>
    <x v="276"/>
    <n v="1.88"/>
  </r>
  <r>
    <s v="8"/>
    <x v="7"/>
    <x v="277"/>
    <x v="277"/>
    <n v="1.76"/>
  </r>
  <r>
    <s v="8"/>
    <x v="7"/>
    <x v="278"/>
    <x v="278"/>
    <n v="1.82"/>
  </r>
  <r>
    <s v="8"/>
    <x v="7"/>
    <x v="279"/>
    <x v="279"/>
    <n v="1.68"/>
  </r>
  <r>
    <s v="8"/>
    <x v="7"/>
    <x v="280"/>
    <x v="280"/>
    <n v="1.67"/>
  </r>
  <r>
    <s v="8"/>
    <x v="7"/>
    <x v="281"/>
    <x v="281"/>
    <n v="1.68"/>
  </r>
  <r>
    <s v="8"/>
    <x v="7"/>
    <x v="282"/>
    <x v="282"/>
    <n v="1.51"/>
  </r>
  <r>
    <s v="8"/>
    <x v="7"/>
    <x v="283"/>
    <x v="283"/>
    <n v="1.47"/>
  </r>
  <r>
    <s v="8"/>
    <x v="7"/>
    <x v="284"/>
    <x v="284"/>
    <n v="1.5"/>
  </r>
  <r>
    <s v="8"/>
    <x v="7"/>
    <x v="285"/>
    <x v="285"/>
    <n v="1.59"/>
  </r>
  <r>
    <s v="8"/>
    <x v="7"/>
    <x v="286"/>
    <x v="286"/>
    <n v="1.58"/>
  </r>
  <r>
    <s v="8"/>
    <x v="7"/>
    <x v="287"/>
    <x v="287"/>
    <n v="1.56"/>
  </r>
  <r>
    <s v="8"/>
    <x v="7"/>
    <x v="288"/>
    <x v="288"/>
    <n v="1.45"/>
  </r>
  <r>
    <s v="8"/>
    <x v="7"/>
    <x v="289"/>
    <x v="289"/>
    <n v="1.33"/>
  </r>
  <r>
    <s v="8"/>
    <x v="7"/>
    <x v="290"/>
    <x v="290"/>
    <n v="1.3"/>
  </r>
  <r>
    <s v="8"/>
    <x v="7"/>
    <x v="291"/>
    <x v="291"/>
    <n v="1.33"/>
  </r>
  <r>
    <s v="8"/>
    <x v="7"/>
    <x v="292"/>
    <x v="292"/>
    <n v="1.07"/>
  </r>
  <r>
    <s v="8"/>
    <x v="7"/>
    <x v="293"/>
    <x v="293"/>
    <n v="-11.26"/>
  </r>
  <r>
    <s v="8"/>
    <x v="7"/>
    <x v="294"/>
    <x v="294"/>
    <n v="-6.97"/>
  </r>
  <r>
    <s v="8"/>
    <x v="7"/>
    <x v="295"/>
    <x v="295"/>
    <n v="-5.97"/>
  </r>
  <r>
    <s v="8"/>
    <x v="7"/>
    <x v="296"/>
    <x v="296"/>
    <n v="-5.44"/>
  </r>
  <r>
    <s v="8"/>
    <x v="7"/>
    <x v="297"/>
    <x v="297"/>
    <n v="8.56"/>
  </r>
  <r>
    <s v="8"/>
    <x v="7"/>
    <x v="298"/>
    <x v="298"/>
    <n v="4.74"/>
  </r>
  <r>
    <s v="8"/>
    <x v="7"/>
    <x v="299"/>
    <x v="299"/>
    <n v="4.6500000000000004"/>
  </r>
  <r>
    <s v="8"/>
    <x v="7"/>
    <x v="300"/>
    <x v="300"/>
    <n v="5.03"/>
  </r>
  <r>
    <s v="8"/>
    <x v="7"/>
    <x v="301"/>
    <x v="301"/>
    <n v="4.6900000000000004"/>
  </r>
  <r>
    <s v="8"/>
    <x v="7"/>
    <x v="302"/>
    <x v="302"/>
    <n v="4.1100000000000003"/>
  </r>
  <r>
    <s v="8"/>
    <x v="7"/>
    <x v="303"/>
    <x v="303"/>
    <n v="3.33"/>
  </r>
  <r>
    <s v="8"/>
    <x v="7"/>
    <x v="304"/>
    <x v="304"/>
    <n v="2.84"/>
  </r>
  <r>
    <s v="8"/>
    <x v="7"/>
    <x v="305"/>
    <x v="305"/>
    <n v="2.41"/>
  </r>
  <r>
    <s v="8"/>
    <x v="7"/>
    <x v="306"/>
    <x v="306"/>
    <n v="1.89"/>
  </r>
  <r>
    <s v="8"/>
    <x v="7"/>
    <x v="307"/>
    <x v="307"/>
    <n v="1.65"/>
  </r>
  <r>
    <s v="8"/>
    <x v="7"/>
    <x v="308"/>
    <x v="308"/>
    <n v="1.45"/>
  </r>
  <r>
    <s v="8"/>
    <x v="7"/>
    <x v="309"/>
    <x v="309"/>
    <n v="1.27"/>
  </r>
  <r>
    <s v="8"/>
    <x v="7"/>
    <x v="310"/>
    <x v="310"/>
    <n v="1"/>
  </r>
  <r>
    <s v="8"/>
    <x v="7"/>
    <x v="311"/>
    <x v="311"/>
    <n v="0.89"/>
  </r>
  <r>
    <s v="8"/>
    <x v="7"/>
    <x v="312"/>
    <x v="312"/>
    <n v="0.68"/>
  </r>
  <r>
    <s v="8"/>
    <x v="7"/>
    <x v="313"/>
    <x v="313"/>
    <n v="0.56000000000000005"/>
  </r>
  <r>
    <s v="8"/>
    <x v="7"/>
    <x v="314"/>
    <x v="314"/>
    <n v="0.45"/>
  </r>
  <r>
    <s v="8"/>
    <x v="7"/>
    <x v="315"/>
    <x v="315"/>
    <n v="0.2"/>
  </r>
  <r>
    <s v="8"/>
    <x v="7"/>
    <x v="316"/>
    <x v="316"/>
    <n v="0.15"/>
  </r>
  <r>
    <s v="8"/>
    <x v="7"/>
    <x v="317"/>
    <x v="317"/>
    <n v="0.23"/>
  </r>
  <r>
    <s v="9"/>
    <x v="8"/>
    <x v="4"/>
    <x v="4"/>
    <m/>
  </r>
  <r>
    <s v="9"/>
    <x v="8"/>
    <x v="5"/>
    <x v="5"/>
    <m/>
  </r>
  <r>
    <s v="9"/>
    <x v="8"/>
    <x v="6"/>
    <x v="6"/>
    <m/>
  </r>
  <r>
    <s v="9"/>
    <x v="8"/>
    <x v="7"/>
    <x v="7"/>
    <m/>
  </r>
  <r>
    <s v="9"/>
    <x v="8"/>
    <x v="8"/>
    <x v="8"/>
    <n v="25.02"/>
  </r>
  <r>
    <s v="9"/>
    <x v="8"/>
    <x v="9"/>
    <x v="9"/>
    <n v="59.99"/>
  </r>
  <r>
    <s v="9"/>
    <x v="8"/>
    <x v="10"/>
    <x v="10"/>
    <n v="77.86"/>
  </r>
  <r>
    <s v="9"/>
    <x v="8"/>
    <x v="11"/>
    <x v="11"/>
    <n v="81.760000000000005"/>
  </r>
  <r>
    <s v="9"/>
    <x v="8"/>
    <x v="12"/>
    <x v="12"/>
    <n v="37.130000000000003"/>
  </r>
  <r>
    <s v="9"/>
    <x v="8"/>
    <x v="13"/>
    <x v="13"/>
    <n v="-5.1100000000000003"/>
  </r>
  <r>
    <s v="9"/>
    <x v="8"/>
    <x v="14"/>
    <x v="14"/>
    <n v="-30.85"/>
  </r>
  <r>
    <s v="9"/>
    <x v="8"/>
    <x v="15"/>
    <x v="15"/>
    <n v="-39.24"/>
  </r>
  <r>
    <s v="9"/>
    <x v="8"/>
    <x v="16"/>
    <x v="16"/>
    <n v="-45.31"/>
  </r>
  <r>
    <s v="9"/>
    <x v="8"/>
    <x v="17"/>
    <x v="17"/>
    <n v="-44.31"/>
  </r>
  <r>
    <s v="9"/>
    <x v="8"/>
    <x v="18"/>
    <x v="18"/>
    <n v="-31.64"/>
  </r>
  <r>
    <s v="9"/>
    <x v="8"/>
    <x v="19"/>
    <x v="19"/>
    <n v="-20.46"/>
  </r>
  <r>
    <s v="9"/>
    <x v="8"/>
    <x v="20"/>
    <x v="20"/>
    <n v="-12.37"/>
  </r>
  <r>
    <s v="9"/>
    <x v="8"/>
    <x v="21"/>
    <x v="21"/>
    <n v="-4.29"/>
  </r>
  <r>
    <s v="9"/>
    <x v="8"/>
    <x v="22"/>
    <x v="22"/>
    <n v="2.08"/>
  </r>
  <r>
    <s v="9"/>
    <x v="8"/>
    <x v="23"/>
    <x v="23"/>
    <n v="-15.86"/>
  </r>
  <r>
    <s v="9"/>
    <x v="8"/>
    <x v="24"/>
    <x v="24"/>
    <n v="-11.97"/>
  </r>
  <r>
    <s v="9"/>
    <x v="8"/>
    <x v="25"/>
    <x v="25"/>
    <n v="-13.48"/>
  </r>
  <r>
    <s v="9"/>
    <x v="8"/>
    <x v="26"/>
    <x v="26"/>
    <n v="-15.47"/>
  </r>
  <r>
    <s v="9"/>
    <x v="8"/>
    <x v="27"/>
    <x v="27"/>
    <n v="30.6"/>
  </r>
  <r>
    <s v="9"/>
    <x v="8"/>
    <x v="28"/>
    <x v="28"/>
    <n v="95.07"/>
  </r>
  <r>
    <s v="9"/>
    <x v="8"/>
    <x v="29"/>
    <x v="29"/>
    <n v="125.94"/>
  </r>
  <r>
    <s v="9"/>
    <x v="8"/>
    <x v="30"/>
    <x v="30"/>
    <n v="118.33"/>
  </r>
  <r>
    <s v="9"/>
    <x v="8"/>
    <x v="31"/>
    <x v="31"/>
    <n v="44.14"/>
  </r>
  <r>
    <s v="9"/>
    <x v="8"/>
    <x v="32"/>
    <x v="32"/>
    <n v="-10.14"/>
  </r>
  <r>
    <s v="9"/>
    <x v="8"/>
    <x v="33"/>
    <x v="33"/>
    <n v="-24.14"/>
  </r>
  <r>
    <s v="9"/>
    <x v="8"/>
    <x v="34"/>
    <x v="34"/>
    <n v="-31.29"/>
  </r>
  <r>
    <s v="9"/>
    <x v="8"/>
    <x v="35"/>
    <x v="35"/>
    <n v="-20.63"/>
  </r>
  <r>
    <s v="9"/>
    <x v="8"/>
    <x v="36"/>
    <x v="36"/>
    <n v="-14.79"/>
  </r>
  <r>
    <s v="9"/>
    <x v="8"/>
    <x v="37"/>
    <x v="37"/>
    <n v="-4.55"/>
  </r>
  <r>
    <s v="9"/>
    <x v="8"/>
    <x v="38"/>
    <x v="38"/>
    <n v="0.8"/>
  </r>
  <r>
    <s v="9"/>
    <x v="8"/>
    <x v="39"/>
    <x v="39"/>
    <n v="-2.36"/>
  </r>
  <r>
    <s v="9"/>
    <x v="8"/>
    <x v="40"/>
    <x v="40"/>
    <n v="-2.48"/>
  </r>
  <r>
    <s v="9"/>
    <x v="8"/>
    <x v="41"/>
    <x v="41"/>
    <n v="-2.38"/>
  </r>
  <r>
    <s v="9"/>
    <x v="8"/>
    <x v="42"/>
    <x v="42"/>
    <n v="2.42"/>
  </r>
  <r>
    <s v="9"/>
    <x v="8"/>
    <x v="43"/>
    <x v="43"/>
    <n v="19.36"/>
  </r>
  <r>
    <s v="9"/>
    <x v="8"/>
    <x v="44"/>
    <x v="44"/>
    <n v="60.18"/>
  </r>
  <r>
    <s v="9"/>
    <x v="8"/>
    <x v="45"/>
    <x v="45"/>
    <n v="79.680000000000007"/>
  </r>
  <r>
    <s v="9"/>
    <x v="8"/>
    <x v="46"/>
    <x v="46"/>
    <n v="73.23"/>
  </r>
  <r>
    <s v="9"/>
    <x v="8"/>
    <x v="47"/>
    <x v="47"/>
    <n v="29.07"/>
  </r>
  <r>
    <s v="9"/>
    <x v="8"/>
    <x v="48"/>
    <x v="48"/>
    <n v="-7.41"/>
  </r>
  <r>
    <s v="9"/>
    <x v="8"/>
    <x v="49"/>
    <x v="49"/>
    <n v="-30.77"/>
  </r>
  <r>
    <s v="9"/>
    <x v="8"/>
    <x v="50"/>
    <x v="50"/>
    <n v="-28.17"/>
  </r>
  <r>
    <s v="9"/>
    <x v="8"/>
    <x v="51"/>
    <x v="51"/>
    <n v="-12.05"/>
  </r>
  <r>
    <s v="9"/>
    <x v="8"/>
    <x v="52"/>
    <x v="52"/>
    <n v="-12"/>
  </r>
  <r>
    <s v="9"/>
    <x v="8"/>
    <x v="53"/>
    <x v="53"/>
    <n v="2.61"/>
  </r>
  <r>
    <s v="9"/>
    <x v="8"/>
    <x v="54"/>
    <x v="54"/>
    <n v="5.05"/>
  </r>
  <r>
    <s v="9"/>
    <x v="8"/>
    <x v="55"/>
    <x v="55"/>
    <n v="11.91"/>
  </r>
  <r>
    <s v="9"/>
    <x v="8"/>
    <x v="56"/>
    <x v="56"/>
    <n v="32.479999999999997"/>
  </r>
  <r>
    <s v="9"/>
    <x v="8"/>
    <x v="57"/>
    <x v="57"/>
    <n v="33.770000000000003"/>
  </r>
  <r>
    <s v="9"/>
    <x v="8"/>
    <x v="58"/>
    <x v="58"/>
    <n v="22.3"/>
  </r>
  <r>
    <s v="9"/>
    <x v="8"/>
    <x v="59"/>
    <x v="59"/>
    <n v="-1.07"/>
  </r>
  <r>
    <s v="9"/>
    <x v="8"/>
    <x v="60"/>
    <x v="60"/>
    <n v="-17.16"/>
  </r>
  <r>
    <s v="9"/>
    <x v="8"/>
    <x v="61"/>
    <x v="61"/>
    <n v="-20.96"/>
  </r>
  <r>
    <s v="9"/>
    <x v="8"/>
    <x v="62"/>
    <x v="62"/>
    <n v="-17.73"/>
  </r>
  <r>
    <s v="9"/>
    <x v="8"/>
    <x v="63"/>
    <x v="63"/>
    <n v="-10.76"/>
  </r>
  <r>
    <s v="9"/>
    <x v="8"/>
    <x v="64"/>
    <x v="64"/>
    <n v="2.38"/>
  </r>
  <r>
    <s v="9"/>
    <x v="8"/>
    <x v="65"/>
    <x v="65"/>
    <n v="3.61"/>
  </r>
  <r>
    <s v="9"/>
    <x v="8"/>
    <x v="66"/>
    <x v="66"/>
    <n v="-1.2"/>
  </r>
  <r>
    <s v="9"/>
    <x v="8"/>
    <x v="67"/>
    <x v="67"/>
    <n v="0.61"/>
  </r>
  <r>
    <s v="9"/>
    <x v="8"/>
    <x v="68"/>
    <x v="68"/>
    <n v="-5.2"/>
  </r>
  <r>
    <s v="9"/>
    <x v="8"/>
    <x v="69"/>
    <x v="69"/>
    <n v="-9.3000000000000007"/>
  </r>
  <r>
    <s v="9"/>
    <x v="8"/>
    <x v="70"/>
    <x v="70"/>
    <n v="-9.09"/>
  </r>
  <r>
    <s v="9"/>
    <x v="8"/>
    <x v="71"/>
    <x v="71"/>
    <n v="-10.78"/>
  </r>
  <r>
    <s v="9"/>
    <x v="8"/>
    <x v="72"/>
    <x v="72"/>
    <n v="-10.37"/>
  </r>
  <r>
    <s v="9"/>
    <x v="8"/>
    <x v="73"/>
    <x v="73"/>
    <n v="-10.25"/>
  </r>
  <r>
    <s v="9"/>
    <x v="8"/>
    <x v="74"/>
    <x v="74"/>
    <n v="-12.66"/>
  </r>
  <r>
    <s v="9"/>
    <x v="8"/>
    <x v="75"/>
    <x v="75"/>
    <n v="-17.46"/>
  </r>
  <r>
    <s v="9"/>
    <x v="8"/>
    <x v="76"/>
    <x v="76"/>
    <n v="-21.08"/>
  </r>
  <r>
    <s v="9"/>
    <x v="8"/>
    <x v="77"/>
    <x v="77"/>
    <n v="-17.87"/>
  </r>
  <r>
    <s v="9"/>
    <x v="8"/>
    <x v="78"/>
    <x v="78"/>
    <n v="-13.74"/>
  </r>
  <r>
    <s v="9"/>
    <x v="8"/>
    <x v="79"/>
    <x v="79"/>
    <n v="-9.76"/>
  </r>
  <r>
    <s v="9"/>
    <x v="8"/>
    <x v="80"/>
    <x v="80"/>
    <n v="-0.88"/>
  </r>
  <r>
    <s v="9"/>
    <x v="8"/>
    <x v="81"/>
    <x v="81"/>
    <n v="0"/>
  </r>
  <r>
    <s v="9"/>
    <x v="8"/>
    <x v="82"/>
    <x v="82"/>
    <n v="0.88"/>
  </r>
  <r>
    <s v="9"/>
    <x v="8"/>
    <x v="83"/>
    <x v="83"/>
    <n v="5.41"/>
  </r>
  <r>
    <s v="9"/>
    <x v="8"/>
    <x v="84"/>
    <x v="84"/>
    <n v="-2.61"/>
  </r>
  <r>
    <s v="9"/>
    <x v="8"/>
    <x v="85"/>
    <x v="85"/>
    <n v="-6.94"/>
  </r>
  <r>
    <s v="9"/>
    <x v="8"/>
    <x v="86"/>
    <x v="86"/>
    <n v="-7.03"/>
  </r>
  <r>
    <s v="9"/>
    <x v="8"/>
    <x v="87"/>
    <x v="87"/>
    <n v="-12.82"/>
  </r>
  <r>
    <s v="9"/>
    <x v="8"/>
    <x v="88"/>
    <x v="88"/>
    <n v="-8.92"/>
  </r>
  <r>
    <s v="9"/>
    <x v="8"/>
    <x v="89"/>
    <x v="89"/>
    <n v="-3.76"/>
  </r>
  <r>
    <s v="9"/>
    <x v="8"/>
    <x v="90"/>
    <x v="90"/>
    <n v="0.96"/>
  </r>
  <r>
    <s v="9"/>
    <x v="8"/>
    <x v="91"/>
    <x v="91"/>
    <n v="4.91"/>
  </r>
  <r>
    <s v="9"/>
    <x v="8"/>
    <x v="92"/>
    <x v="92"/>
    <n v="22.56"/>
  </r>
  <r>
    <s v="9"/>
    <x v="8"/>
    <x v="93"/>
    <x v="93"/>
    <n v="38.86"/>
  </r>
  <r>
    <s v="9"/>
    <x v="8"/>
    <x v="94"/>
    <x v="94"/>
    <n v="44.86"/>
  </r>
  <r>
    <s v="9"/>
    <x v="8"/>
    <x v="95"/>
    <x v="95"/>
    <n v="63.53"/>
  </r>
  <r>
    <s v="9"/>
    <x v="8"/>
    <x v="96"/>
    <x v="96"/>
    <n v="42.38"/>
  </r>
  <r>
    <s v="9"/>
    <x v="8"/>
    <x v="97"/>
    <x v="97"/>
    <n v="23.77"/>
  </r>
  <r>
    <s v="9"/>
    <x v="8"/>
    <x v="98"/>
    <x v="98"/>
    <n v="16.760000000000002"/>
  </r>
  <r>
    <s v="9"/>
    <x v="8"/>
    <x v="99"/>
    <x v="99"/>
    <n v="1.71"/>
  </r>
  <r>
    <s v="9"/>
    <x v="8"/>
    <x v="100"/>
    <x v="100"/>
    <n v="-2.8"/>
  </r>
  <r>
    <s v="9"/>
    <x v="8"/>
    <x v="101"/>
    <x v="101"/>
    <n v="-3.39"/>
  </r>
  <r>
    <s v="9"/>
    <x v="8"/>
    <x v="102"/>
    <x v="102"/>
    <n v="-7.72"/>
  </r>
  <r>
    <s v="9"/>
    <x v="8"/>
    <x v="103"/>
    <x v="103"/>
    <n v="-9.5399999999999991"/>
  </r>
  <r>
    <s v="9"/>
    <x v="8"/>
    <x v="104"/>
    <x v="104"/>
    <n v="-14.46"/>
  </r>
  <r>
    <s v="9"/>
    <x v="8"/>
    <x v="105"/>
    <x v="105"/>
    <n v="-13.46"/>
  </r>
  <r>
    <s v="9"/>
    <x v="8"/>
    <x v="106"/>
    <x v="106"/>
    <n v="-13.78"/>
  </r>
  <r>
    <s v="9"/>
    <x v="8"/>
    <x v="107"/>
    <x v="107"/>
    <n v="-11.18"/>
  </r>
  <r>
    <s v="9"/>
    <x v="8"/>
    <x v="108"/>
    <x v="108"/>
    <n v="4.05"/>
  </r>
  <r>
    <s v="9"/>
    <x v="8"/>
    <x v="109"/>
    <x v="109"/>
    <n v="5.41"/>
  </r>
  <r>
    <s v="9"/>
    <x v="8"/>
    <x v="110"/>
    <x v="110"/>
    <n v="17.350000000000001"/>
  </r>
  <r>
    <s v="9"/>
    <x v="8"/>
    <x v="111"/>
    <x v="111"/>
    <n v="38.450000000000003"/>
  </r>
  <r>
    <s v="9"/>
    <x v="8"/>
    <x v="112"/>
    <x v="112"/>
    <n v="61.06"/>
  </r>
  <r>
    <s v="9"/>
    <x v="8"/>
    <x v="113"/>
    <x v="113"/>
    <n v="70.52"/>
  </r>
  <r>
    <s v="9"/>
    <x v="8"/>
    <x v="114"/>
    <x v="114"/>
    <n v="50.31"/>
  </r>
  <r>
    <s v="9"/>
    <x v="8"/>
    <x v="115"/>
    <x v="115"/>
    <n v="25.76"/>
  </r>
  <r>
    <s v="9"/>
    <x v="8"/>
    <x v="116"/>
    <x v="116"/>
    <n v="-6.46"/>
  </r>
  <r>
    <s v="9"/>
    <x v="8"/>
    <x v="117"/>
    <x v="117"/>
    <n v="-14.66"/>
  </r>
  <r>
    <s v="9"/>
    <x v="8"/>
    <x v="118"/>
    <x v="118"/>
    <n v="-8.67"/>
  </r>
  <r>
    <s v="9"/>
    <x v="8"/>
    <x v="119"/>
    <x v="119"/>
    <n v="-6.42"/>
  </r>
  <r>
    <s v="9"/>
    <x v="8"/>
    <x v="120"/>
    <x v="120"/>
    <n v="-3.01"/>
  </r>
  <r>
    <s v="9"/>
    <x v="8"/>
    <x v="121"/>
    <x v="121"/>
    <n v="-5.74"/>
  </r>
  <r>
    <s v="9"/>
    <x v="8"/>
    <x v="122"/>
    <x v="122"/>
    <n v="-10.77"/>
  </r>
  <r>
    <s v="9"/>
    <x v="8"/>
    <x v="123"/>
    <x v="123"/>
    <n v="-14.16"/>
  </r>
  <r>
    <s v="9"/>
    <x v="8"/>
    <x v="124"/>
    <x v="124"/>
    <n v="-15.56"/>
  </r>
  <r>
    <s v="9"/>
    <x v="8"/>
    <x v="125"/>
    <x v="125"/>
    <n v="-15.88"/>
  </r>
  <r>
    <s v="9"/>
    <x v="8"/>
    <x v="126"/>
    <x v="126"/>
    <n v="-12.57"/>
  </r>
  <r>
    <s v="9"/>
    <x v="8"/>
    <x v="127"/>
    <x v="127"/>
    <n v="-11.5"/>
  </r>
  <r>
    <s v="9"/>
    <x v="8"/>
    <x v="128"/>
    <x v="128"/>
    <n v="-7.36"/>
  </r>
  <r>
    <s v="9"/>
    <x v="8"/>
    <x v="129"/>
    <x v="129"/>
    <n v="-5"/>
  </r>
  <r>
    <s v="9"/>
    <x v="8"/>
    <x v="130"/>
    <x v="130"/>
    <n v="-2.75"/>
  </r>
  <r>
    <s v="9"/>
    <x v="8"/>
    <x v="131"/>
    <x v="131"/>
    <n v="1.1399999999999999"/>
  </r>
  <r>
    <s v="9"/>
    <x v="8"/>
    <x v="132"/>
    <x v="132"/>
    <n v="7.38"/>
  </r>
  <r>
    <s v="9"/>
    <x v="8"/>
    <x v="133"/>
    <x v="133"/>
    <n v="28.65"/>
  </r>
  <r>
    <s v="9"/>
    <x v="8"/>
    <x v="134"/>
    <x v="134"/>
    <n v="30.68"/>
  </r>
  <r>
    <s v="9"/>
    <x v="8"/>
    <x v="135"/>
    <x v="135"/>
    <n v="24.02"/>
  </r>
  <r>
    <s v="9"/>
    <x v="8"/>
    <x v="136"/>
    <x v="136"/>
    <n v="17.98"/>
  </r>
  <r>
    <s v="9"/>
    <x v="8"/>
    <x v="137"/>
    <x v="137"/>
    <n v="0.91"/>
  </r>
  <r>
    <s v="9"/>
    <x v="8"/>
    <x v="138"/>
    <x v="138"/>
    <n v="-3.48"/>
  </r>
  <r>
    <s v="9"/>
    <x v="8"/>
    <x v="139"/>
    <x v="139"/>
    <n v="11.26"/>
  </r>
  <r>
    <s v="9"/>
    <x v="8"/>
    <x v="140"/>
    <x v="140"/>
    <n v="18.829999999999998"/>
  </r>
  <r>
    <s v="9"/>
    <x v="8"/>
    <x v="141"/>
    <x v="141"/>
    <n v="27.47"/>
  </r>
  <r>
    <s v="9"/>
    <x v="8"/>
    <x v="142"/>
    <x v="142"/>
    <n v="33.78"/>
  </r>
  <r>
    <s v="9"/>
    <x v="8"/>
    <x v="143"/>
    <x v="143"/>
    <n v="29.56"/>
  </r>
  <r>
    <s v="9"/>
    <x v="8"/>
    <x v="144"/>
    <x v="144"/>
    <n v="17.37"/>
  </r>
  <r>
    <s v="9"/>
    <x v="8"/>
    <x v="145"/>
    <x v="145"/>
    <n v="7.42"/>
  </r>
  <r>
    <s v="9"/>
    <x v="8"/>
    <x v="146"/>
    <x v="146"/>
    <n v="-5.38"/>
  </r>
  <r>
    <s v="9"/>
    <x v="8"/>
    <x v="147"/>
    <x v="147"/>
    <n v="-20.010000000000002"/>
  </r>
  <r>
    <s v="9"/>
    <x v="8"/>
    <x v="148"/>
    <x v="148"/>
    <n v="-24.11"/>
  </r>
  <r>
    <s v="9"/>
    <x v="8"/>
    <x v="149"/>
    <x v="149"/>
    <n v="-26.65"/>
  </r>
  <r>
    <s v="9"/>
    <x v="8"/>
    <x v="150"/>
    <x v="150"/>
    <n v="-20.65"/>
  </r>
  <r>
    <s v="9"/>
    <x v="8"/>
    <x v="151"/>
    <x v="151"/>
    <n v="-14.45"/>
  </r>
  <r>
    <s v="9"/>
    <x v="8"/>
    <x v="152"/>
    <x v="152"/>
    <n v="-8.06"/>
  </r>
  <r>
    <s v="9"/>
    <x v="8"/>
    <x v="153"/>
    <x v="153"/>
    <n v="-1.79"/>
  </r>
  <r>
    <s v="9"/>
    <x v="8"/>
    <x v="154"/>
    <x v="154"/>
    <n v="-3.13"/>
  </r>
  <r>
    <s v="9"/>
    <x v="8"/>
    <x v="155"/>
    <x v="155"/>
    <n v="-3.66"/>
  </r>
  <r>
    <s v="9"/>
    <x v="8"/>
    <x v="156"/>
    <x v="156"/>
    <n v="-2.77"/>
  </r>
  <r>
    <s v="9"/>
    <x v="8"/>
    <x v="157"/>
    <x v="157"/>
    <n v="-1.82"/>
  </r>
  <r>
    <s v="9"/>
    <x v="8"/>
    <x v="158"/>
    <x v="158"/>
    <n v="-3.24"/>
  </r>
  <r>
    <s v="9"/>
    <x v="8"/>
    <x v="159"/>
    <x v="159"/>
    <n v="-2.84"/>
  </r>
  <r>
    <s v="9"/>
    <x v="8"/>
    <x v="160"/>
    <x v="160"/>
    <n v="-6.16"/>
  </r>
  <r>
    <s v="9"/>
    <x v="8"/>
    <x v="161"/>
    <x v="161"/>
    <n v="-12.56"/>
  </r>
  <r>
    <s v="9"/>
    <x v="8"/>
    <x v="162"/>
    <x v="162"/>
    <n v="-13.88"/>
  </r>
  <r>
    <s v="9"/>
    <x v="8"/>
    <x v="163"/>
    <x v="163"/>
    <n v="-14.63"/>
  </r>
  <r>
    <s v="9"/>
    <x v="8"/>
    <x v="164"/>
    <x v="164"/>
    <n v="-13.64"/>
  </r>
  <r>
    <s v="9"/>
    <x v="8"/>
    <x v="165"/>
    <x v="165"/>
    <n v="-12.77"/>
  </r>
  <r>
    <s v="9"/>
    <x v="8"/>
    <x v="166"/>
    <x v="166"/>
    <n v="-8.8800000000000008"/>
  </r>
  <r>
    <s v="9"/>
    <x v="8"/>
    <x v="167"/>
    <x v="167"/>
    <n v="-8.57"/>
  </r>
  <r>
    <s v="9"/>
    <x v="8"/>
    <x v="168"/>
    <x v="168"/>
    <n v="-8.77"/>
  </r>
  <r>
    <s v="9"/>
    <x v="8"/>
    <x v="169"/>
    <x v="169"/>
    <n v="-4.28"/>
  </r>
  <r>
    <s v="9"/>
    <x v="8"/>
    <x v="170"/>
    <x v="170"/>
    <n v="-4.28"/>
  </r>
  <r>
    <s v="9"/>
    <x v="8"/>
    <x v="171"/>
    <x v="171"/>
    <n v="0.64"/>
  </r>
  <r>
    <s v="9"/>
    <x v="8"/>
    <x v="172"/>
    <x v="172"/>
    <n v="1.92"/>
  </r>
  <r>
    <s v="9"/>
    <x v="8"/>
    <x v="173"/>
    <x v="173"/>
    <n v="1.91"/>
  </r>
  <r>
    <s v="9"/>
    <x v="8"/>
    <x v="174"/>
    <x v="174"/>
    <n v="8.92"/>
  </r>
  <r>
    <s v="9"/>
    <x v="8"/>
    <x v="175"/>
    <x v="175"/>
    <n v="14.27"/>
  </r>
  <r>
    <s v="9"/>
    <x v="8"/>
    <x v="176"/>
    <x v="176"/>
    <n v="24.53"/>
  </r>
  <r>
    <s v="9"/>
    <x v="8"/>
    <x v="177"/>
    <x v="177"/>
    <n v="28.13"/>
  </r>
  <r>
    <s v="9"/>
    <x v="8"/>
    <x v="178"/>
    <x v="178"/>
    <n v="20.47"/>
  </r>
  <r>
    <s v="9"/>
    <x v="8"/>
    <x v="179"/>
    <x v="179"/>
    <n v="15.77"/>
  </r>
  <r>
    <s v="9"/>
    <x v="8"/>
    <x v="180"/>
    <x v="180"/>
    <n v="11.62"/>
  </r>
  <r>
    <s v="9"/>
    <x v="8"/>
    <x v="181"/>
    <x v="181"/>
    <n v="11.22"/>
  </r>
  <r>
    <s v="9"/>
    <x v="8"/>
    <x v="182"/>
    <x v="182"/>
    <n v="11.15"/>
  </r>
  <r>
    <s v="9"/>
    <x v="8"/>
    <x v="183"/>
    <x v="183"/>
    <n v="3.76"/>
  </r>
  <r>
    <s v="9"/>
    <x v="8"/>
    <x v="184"/>
    <x v="184"/>
    <n v="-3.18"/>
  </r>
  <r>
    <s v="9"/>
    <x v="8"/>
    <x v="185"/>
    <x v="185"/>
    <n v="-7.01"/>
  </r>
  <r>
    <s v="9"/>
    <x v="8"/>
    <x v="186"/>
    <x v="186"/>
    <n v="-10.91"/>
  </r>
  <r>
    <s v="9"/>
    <x v="8"/>
    <x v="187"/>
    <x v="187"/>
    <n v="-9.9600000000000009"/>
  </r>
  <r>
    <s v="9"/>
    <x v="8"/>
    <x v="188"/>
    <x v="188"/>
    <n v="-7.93"/>
  </r>
  <r>
    <s v="9"/>
    <x v="8"/>
    <x v="189"/>
    <x v="189"/>
    <n v="-12.27"/>
  </r>
  <r>
    <s v="9"/>
    <x v="8"/>
    <x v="190"/>
    <x v="190"/>
    <n v="-11.76"/>
  </r>
  <r>
    <s v="9"/>
    <x v="8"/>
    <x v="191"/>
    <x v="191"/>
    <n v="-15.08"/>
  </r>
  <r>
    <s v="9"/>
    <x v="8"/>
    <x v="192"/>
    <x v="192"/>
    <n v="-16.75"/>
  </r>
  <r>
    <s v="9"/>
    <x v="8"/>
    <x v="193"/>
    <x v="193"/>
    <n v="-8.6"/>
  </r>
  <r>
    <s v="9"/>
    <x v="8"/>
    <x v="194"/>
    <x v="194"/>
    <n v="-5.55"/>
  </r>
  <r>
    <s v="9"/>
    <x v="8"/>
    <x v="195"/>
    <x v="195"/>
    <n v="-1.17"/>
  </r>
  <r>
    <s v="9"/>
    <x v="8"/>
    <x v="196"/>
    <x v="196"/>
    <n v="1.21"/>
  </r>
  <r>
    <s v="9"/>
    <x v="8"/>
    <x v="197"/>
    <x v="197"/>
    <n v="-2.95"/>
  </r>
  <r>
    <s v="9"/>
    <x v="8"/>
    <x v="198"/>
    <x v="198"/>
    <n v="-7.06"/>
  </r>
  <r>
    <s v="9"/>
    <x v="8"/>
    <x v="199"/>
    <x v="199"/>
    <n v="-4.2"/>
  </r>
  <r>
    <s v="9"/>
    <x v="8"/>
    <x v="200"/>
    <x v="200"/>
    <n v="-5.42"/>
  </r>
  <r>
    <s v="9"/>
    <x v="8"/>
    <x v="201"/>
    <x v="201"/>
    <n v="-9.09"/>
  </r>
  <r>
    <s v="9"/>
    <x v="8"/>
    <x v="202"/>
    <x v="202"/>
    <n v="-7.59"/>
  </r>
  <r>
    <s v="9"/>
    <x v="8"/>
    <x v="203"/>
    <x v="203"/>
    <n v="-12.49"/>
  </r>
  <r>
    <s v="9"/>
    <x v="8"/>
    <x v="204"/>
    <x v="204"/>
    <n v="-11.47"/>
  </r>
  <r>
    <s v="9"/>
    <x v="8"/>
    <x v="205"/>
    <x v="205"/>
    <n v="-12"/>
  </r>
  <r>
    <s v="9"/>
    <x v="8"/>
    <x v="206"/>
    <x v="206"/>
    <n v="-6.86"/>
  </r>
  <r>
    <s v="9"/>
    <x v="8"/>
    <x v="207"/>
    <x v="207"/>
    <n v="-5.01"/>
  </r>
  <r>
    <s v="9"/>
    <x v="8"/>
    <x v="208"/>
    <x v="208"/>
    <n v="-7.19"/>
  </r>
  <r>
    <s v="9"/>
    <x v="8"/>
    <x v="209"/>
    <x v="209"/>
    <n v="-3.02"/>
  </r>
  <r>
    <s v="9"/>
    <x v="8"/>
    <x v="210"/>
    <x v="210"/>
    <n v="-6.62"/>
  </r>
  <r>
    <s v="9"/>
    <x v="8"/>
    <x v="211"/>
    <x v="211"/>
    <n v="-8.26"/>
  </r>
  <r>
    <s v="9"/>
    <x v="8"/>
    <x v="212"/>
    <x v="212"/>
    <n v="-6.21"/>
  </r>
  <r>
    <s v="9"/>
    <x v="8"/>
    <x v="213"/>
    <x v="213"/>
    <n v="-7.83"/>
  </r>
  <r>
    <s v="9"/>
    <x v="8"/>
    <x v="214"/>
    <x v="214"/>
    <n v="-5.5"/>
  </r>
  <r>
    <s v="9"/>
    <x v="8"/>
    <x v="215"/>
    <x v="215"/>
    <n v="-4.1100000000000003"/>
  </r>
  <r>
    <s v="9"/>
    <x v="8"/>
    <x v="216"/>
    <x v="216"/>
    <n v="4.96"/>
  </r>
  <r>
    <s v="9"/>
    <x v="8"/>
    <x v="217"/>
    <x v="217"/>
    <n v="11.87"/>
  </r>
  <r>
    <s v="9"/>
    <x v="8"/>
    <x v="218"/>
    <x v="218"/>
    <n v="20.83"/>
  </r>
  <r>
    <s v="9"/>
    <x v="8"/>
    <x v="219"/>
    <x v="219"/>
    <n v="41.03"/>
  </r>
  <r>
    <s v="9"/>
    <x v="8"/>
    <x v="220"/>
    <x v="220"/>
    <n v="34.659999999999997"/>
  </r>
  <r>
    <s v="9"/>
    <x v="8"/>
    <x v="221"/>
    <x v="221"/>
    <n v="32.57"/>
  </r>
  <r>
    <s v="9"/>
    <x v="8"/>
    <x v="222"/>
    <x v="222"/>
    <n v="18.62"/>
  </r>
  <r>
    <s v="9"/>
    <x v="8"/>
    <x v="223"/>
    <x v="223"/>
    <n v="6.67"/>
  </r>
  <r>
    <s v="9"/>
    <x v="8"/>
    <x v="224"/>
    <x v="224"/>
    <n v="2.93"/>
  </r>
  <r>
    <s v="9"/>
    <x v="8"/>
    <x v="225"/>
    <x v="225"/>
    <n v="5.14"/>
  </r>
  <r>
    <s v="9"/>
    <x v="8"/>
    <x v="226"/>
    <x v="226"/>
    <n v="6.98"/>
  </r>
  <r>
    <s v="9"/>
    <x v="8"/>
    <x v="227"/>
    <x v="227"/>
    <n v="-0.57999999999999996"/>
  </r>
  <r>
    <s v="9"/>
    <x v="8"/>
    <x v="228"/>
    <x v="228"/>
    <n v="-2.85"/>
  </r>
  <r>
    <s v="9"/>
    <x v="8"/>
    <x v="229"/>
    <x v="229"/>
    <n v="-8.69"/>
  </r>
  <r>
    <s v="9"/>
    <x v="8"/>
    <x v="230"/>
    <x v="230"/>
    <n v="-11.41"/>
  </r>
  <r>
    <s v="9"/>
    <x v="8"/>
    <x v="231"/>
    <x v="231"/>
    <n v="-6.86"/>
  </r>
  <r>
    <s v="9"/>
    <x v="8"/>
    <x v="232"/>
    <x v="232"/>
    <n v="-7.02"/>
  </r>
  <r>
    <s v="9"/>
    <x v="8"/>
    <x v="233"/>
    <x v="233"/>
    <n v="-8.93"/>
  </r>
  <r>
    <s v="9"/>
    <x v="8"/>
    <x v="234"/>
    <x v="234"/>
    <n v="-8.58"/>
  </r>
  <r>
    <s v="9"/>
    <x v="8"/>
    <x v="235"/>
    <x v="235"/>
    <n v="-8.58"/>
  </r>
  <r>
    <s v="9"/>
    <x v="8"/>
    <x v="236"/>
    <x v="236"/>
    <n v="-10.7"/>
  </r>
  <r>
    <s v="9"/>
    <x v="8"/>
    <x v="237"/>
    <x v="237"/>
    <n v="-9.16"/>
  </r>
  <r>
    <s v="9"/>
    <x v="8"/>
    <x v="238"/>
    <x v="238"/>
    <n v="-6.72"/>
  </r>
  <r>
    <s v="9"/>
    <x v="8"/>
    <x v="239"/>
    <x v="239"/>
    <n v="-10.75"/>
  </r>
  <r>
    <s v="9"/>
    <x v="8"/>
    <x v="240"/>
    <x v="240"/>
    <n v="-4.92"/>
  </r>
  <r>
    <s v="9"/>
    <x v="8"/>
    <x v="241"/>
    <x v="241"/>
    <n v="-2.87"/>
  </r>
  <r>
    <s v="9"/>
    <x v="8"/>
    <x v="242"/>
    <x v="242"/>
    <n v="0.73"/>
  </r>
  <r>
    <s v="9"/>
    <x v="8"/>
    <x v="243"/>
    <x v="243"/>
    <n v="8.2799999999999994"/>
  </r>
  <r>
    <s v="9"/>
    <x v="8"/>
    <x v="244"/>
    <x v="244"/>
    <n v="11.11"/>
  </r>
  <r>
    <s v="9"/>
    <x v="8"/>
    <x v="245"/>
    <x v="245"/>
    <n v="18.510000000000002"/>
  </r>
  <r>
    <s v="9"/>
    <x v="8"/>
    <x v="246"/>
    <x v="246"/>
    <n v="28.56"/>
  </r>
  <r>
    <s v="9"/>
    <x v="8"/>
    <x v="247"/>
    <x v="247"/>
    <n v="43.06"/>
  </r>
  <r>
    <s v="9"/>
    <x v="8"/>
    <x v="248"/>
    <x v="248"/>
    <n v="65.34"/>
  </r>
  <r>
    <s v="9"/>
    <x v="8"/>
    <x v="249"/>
    <x v="249"/>
    <n v="74.39"/>
  </r>
  <r>
    <s v="9"/>
    <x v="8"/>
    <x v="250"/>
    <x v="250"/>
    <n v="60.55"/>
  </r>
  <r>
    <s v="9"/>
    <x v="8"/>
    <x v="251"/>
    <x v="251"/>
    <n v="44.65"/>
  </r>
  <r>
    <s v="9"/>
    <x v="8"/>
    <x v="252"/>
    <x v="252"/>
    <n v="18.940000000000001"/>
  </r>
  <r>
    <s v="9"/>
    <x v="8"/>
    <x v="253"/>
    <x v="253"/>
    <n v="3.58"/>
  </r>
  <r>
    <s v="9"/>
    <x v="8"/>
    <x v="254"/>
    <x v="254"/>
    <n v="-1.72"/>
  </r>
  <r>
    <s v="9"/>
    <x v="8"/>
    <x v="255"/>
    <x v="255"/>
    <n v="-4.3600000000000003"/>
  </r>
  <r>
    <s v="9"/>
    <x v="8"/>
    <x v="256"/>
    <x v="256"/>
    <n v="-8.14"/>
  </r>
  <r>
    <s v="9"/>
    <x v="8"/>
    <x v="257"/>
    <x v="257"/>
    <n v="-5.88"/>
  </r>
  <r>
    <s v="9"/>
    <x v="8"/>
    <x v="258"/>
    <x v="258"/>
    <n v="-4.93"/>
  </r>
  <r>
    <s v="9"/>
    <x v="8"/>
    <x v="259"/>
    <x v="259"/>
    <n v="-9.1300000000000008"/>
  </r>
  <r>
    <s v="9"/>
    <x v="8"/>
    <x v="260"/>
    <x v="260"/>
    <n v="-8.48"/>
  </r>
  <r>
    <s v="9"/>
    <x v="8"/>
    <x v="261"/>
    <x v="261"/>
    <n v="-9.56"/>
  </r>
  <r>
    <s v="9"/>
    <x v="8"/>
    <x v="262"/>
    <x v="262"/>
    <n v="-10.74"/>
  </r>
  <r>
    <s v="9"/>
    <x v="8"/>
    <x v="263"/>
    <x v="263"/>
    <n v="-9.65"/>
  </r>
  <r>
    <s v="9"/>
    <x v="8"/>
    <x v="264"/>
    <x v="264"/>
    <n v="-6.46"/>
  </r>
  <r>
    <s v="9"/>
    <x v="8"/>
    <x v="265"/>
    <x v="265"/>
    <n v="-8.1300000000000008"/>
  </r>
  <r>
    <s v="9"/>
    <x v="8"/>
    <x v="266"/>
    <x v="266"/>
    <n v="-9.9600000000000009"/>
  </r>
  <r>
    <s v="9"/>
    <x v="8"/>
    <x v="267"/>
    <x v="267"/>
    <n v="-11.12"/>
  </r>
  <r>
    <s v="9"/>
    <x v="8"/>
    <x v="268"/>
    <x v="268"/>
    <n v="-13.79"/>
  </r>
  <r>
    <s v="9"/>
    <x v="8"/>
    <x v="269"/>
    <x v="269"/>
    <n v="-17.7"/>
  </r>
  <r>
    <s v="9"/>
    <x v="8"/>
    <x v="270"/>
    <x v="270"/>
    <n v="-16.12"/>
  </r>
  <r>
    <s v="9"/>
    <x v="8"/>
    <x v="271"/>
    <x v="271"/>
    <n v="-17.78"/>
  </r>
  <r>
    <s v="9"/>
    <x v="8"/>
    <x v="272"/>
    <x v="272"/>
    <n v="-17.010000000000002"/>
  </r>
  <r>
    <s v="9"/>
    <x v="8"/>
    <x v="273"/>
    <x v="273"/>
    <n v="-12.37"/>
  </r>
  <r>
    <s v="9"/>
    <x v="8"/>
    <x v="274"/>
    <x v="274"/>
    <n v="-15.94"/>
  </r>
  <r>
    <s v="9"/>
    <x v="8"/>
    <x v="275"/>
    <x v="275"/>
    <n v="-11.7"/>
  </r>
  <r>
    <s v="9"/>
    <x v="8"/>
    <x v="276"/>
    <x v="276"/>
    <n v="-11.44"/>
  </r>
  <r>
    <s v="9"/>
    <x v="8"/>
    <x v="277"/>
    <x v="277"/>
    <n v="-9.1999999999999993"/>
  </r>
  <r>
    <s v="9"/>
    <x v="8"/>
    <x v="278"/>
    <x v="278"/>
    <n v="-3.92"/>
  </r>
  <r>
    <s v="9"/>
    <x v="8"/>
    <x v="279"/>
    <x v="279"/>
    <n v="-5.29"/>
  </r>
  <r>
    <s v="9"/>
    <x v="8"/>
    <x v="280"/>
    <x v="280"/>
    <n v="-6.8"/>
  </r>
  <r>
    <s v="9"/>
    <x v="8"/>
    <x v="281"/>
    <x v="281"/>
    <n v="-11.47"/>
  </r>
  <r>
    <s v="9"/>
    <x v="8"/>
    <x v="282"/>
    <x v="282"/>
    <n v="-11.57"/>
  </r>
  <r>
    <s v="9"/>
    <x v="8"/>
    <x v="283"/>
    <x v="283"/>
    <n v="-12.59"/>
  </r>
  <r>
    <s v="9"/>
    <x v="8"/>
    <x v="284"/>
    <x v="284"/>
    <n v="-11.69"/>
  </r>
  <r>
    <s v="9"/>
    <x v="8"/>
    <x v="285"/>
    <x v="285"/>
    <n v="-9.94"/>
  </r>
  <r>
    <s v="9"/>
    <x v="8"/>
    <x v="286"/>
    <x v="286"/>
    <n v="-13.06"/>
  </r>
  <r>
    <s v="9"/>
    <x v="8"/>
    <x v="287"/>
    <x v="287"/>
    <n v="-8.02"/>
  </r>
  <r>
    <s v="9"/>
    <x v="8"/>
    <x v="288"/>
    <x v="288"/>
    <n v="-4.12"/>
  </r>
  <r>
    <s v="9"/>
    <x v="8"/>
    <x v="289"/>
    <x v="289"/>
    <n v="-7.63"/>
  </r>
  <r>
    <s v="9"/>
    <x v="8"/>
    <x v="290"/>
    <x v="290"/>
    <n v="-4.43"/>
  </r>
  <r>
    <s v="9"/>
    <x v="8"/>
    <x v="291"/>
    <x v="291"/>
    <n v="-6.08"/>
  </r>
  <r>
    <s v="9"/>
    <x v="8"/>
    <x v="292"/>
    <x v="292"/>
    <n v="-0.88"/>
  </r>
  <r>
    <s v="9"/>
    <x v="8"/>
    <x v="293"/>
    <x v="293"/>
    <n v="257.83"/>
  </r>
  <r>
    <s v="9"/>
    <x v="8"/>
    <x v="294"/>
    <x v="294"/>
    <n v="144.44"/>
  </r>
  <r>
    <s v="9"/>
    <x v="8"/>
    <x v="295"/>
    <x v="295"/>
    <n v="87.97"/>
  </r>
  <r>
    <s v="9"/>
    <x v="8"/>
    <x v="296"/>
    <x v="296"/>
    <n v="62.61"/>
  </r>
  <r>
    <s v="9"/>
    <x v="8"/>
    <x v="297"/>
    <x v="297"/>
    <n v="-54.36"/>
  </r>
  <r>
    <s v="9"/>
    <x v="8"/>
    <x v="298"/>
    <x v="298"/>
    <n v="-42.42"/>
  </r>
  <r>
    <s v="9"/>
    <x v="8"/>
    <x v="299"/>
    <x v="299"/>
    <n v="-38.42"/>
  </r>
  <r>
    <s v="9"/>
    <x v="8"/>
    <x v="300"/>
    <x v="300"/>
    <n v="-37.96"/>
  </r>
  <r>
    <s v="9"/>
    <x v="8"/>
    <x v="301"/>
    <x v="301"/>
    <n v="-38.770000000000003"/>
  </r>
  <r>
    <s v="9"/>
    <x v="8"/>
    <x v="302"/>
    <x v="302"/>
    <n v="-30.27"/>
  </r>
  <r>
    <s v="9"/>
    <x v="8"/>
    <x v="303"/>
    <x v="303"/>
    <n v="-14.4"/>
  </r>
  <r>
    <s v="9"/>
    <x v="8"/>
    <x v="304"/>
    <x v="304"/>
    <n v="-8.64"/>
  </r>
  <r>
    <s v="9"/>
    <x v="8"/>
    <x v="305"/>
    <x v="305"/>
    <n v="-2.75"/>
  </r>
  <r>
    <s v="9"/>
    <x v="8"/>
    <x v="306"/>
    <x v="306"/>
    <n v="2.83"/>
  </r>
  <r>
    <s v="9"/>
    <x v="8"/>
    <x v="307"/>
    <x v="307"/>
    <n v="6.53"/>
  </r>
  <r>
    <s v="9"/>
    <x v="8"/>
    <x v="308"/>
    <x v="308"/>
    <n v="8.49"/>
  </r>
  <r>
    <s v="9"/>
    <x v="8"/>
    <x v="309"/>
    <x v="309"/>
    <n v="12.28"/>
  </r>
  <r>
    <s v="9"/>
    <x v="8"/>
    <x v="310"/>
    <x v="310"/>
    <n v="14.7"/>
  </r>
  <r>
    <s v="9"/>
    <x v="8"/>
    <x v="311"/>
    <x v="311"/>
    <n v="8.76"/>
  </r>
  <r>
    <s v="9"/>
    <x v="8"/>
    <x v="312"/>
    <x v="312"/>
    <n v="7.83"/>
  </r>
  <r>
    <s v="9"/>
    <x v="8"/>
    <x v="313"/>
    <x v="313"/>
    <n v="5.87"/>
  </r>
  <r>
    <s v="9"/>
    <x v="8"/>
    <x v="314"/>
    <x v="314"/>
    <n v="3.98"/>
  </r>
  <r>
    <s v="9"/>
    <x v="8"/>
    <x v="316"/>
    <x v="316"/>
    <n v="4.84"/>
  </r>
  <r>
    <s v="9"/>
    <x v="8"/>
    <x v="317"/>
    <x v="317"/>
    <n v="3.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DE65C9-B5B8-4B38-B510-0A64F031495D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E2:J7" firstHeaderRow="1" firstDataRow="2" firstDataCol="1"/>
  <pivotFields count="8">
    <pivotField showAll="0"/>
    <pivotField axis="axisCol" showAll="0">
      <items count="10">
        <item h="1" x="6"/>
        <item x="1"/>
        <item h="1" x="2"/>
        <item x="3"/>
        <item h="1" x="7"/>
        <item x="0"/>
        <item h="1" x="4"/>
        <item h="1" x="5"/>
        <item x="8"/>
        <item t="default"/>
      </items>
    </pivotField>
    <pivotField numFmtId="14" showAll="0">
      <items count="351"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t="default"/>
      </items>
    </pivotField>
    <pivotField showAll="0">
      <items count="351">
        <item x="318"/>
        <item x="322"/>
        <item x="326"/>
        <item x="330"/>
        <item x="334"/>
        <item x="338"/>
        <item x="342"/>
        <item x="346"/>
        <item x="0"/>
        <item x="4"/>
        <item x="8"/>
        <item x="12"/>
        <item x="16"/>
        <item x="20"/>
        <item x="24"/>
        <item x="28"/>
        <item x="32"/>
        <item x="36"/>
        <item x="40"/>
        <item x="44"/>
        <item x="48"/>
        <item x="52"/>
        <item x="56"/>
        <item x="60"/>
        <item x="64"/>
        <item x="68"/>
        <item x="72"/>
        <item x="76"/>
        <item x="80"/>
        <item x="84"/>
        <item x="88"/>
        <item x="92"/>
        <item x="96"/>
        <item x="100"/>
        <item x="104"/>
        <item x="108"/>
        <item x="112"/>
        <item x="116"/>
        <item x="120"/>
        <item x="124"/>
        <item x="128"/>
        <item x="132"/>
        <item x="136"/>
        <item x="140"/>
        <item x="144"/>
        <item x="148"/>
        <item x="152"/>
        <item x="156"/>
        <item x="160"/>
        <item x="164"/>
        <item x="168"/>
        <item x="172"/>
        <item x="176"/>
        <item x="180"/>
        <item x="184"/>
        <item x="188"/>
        <item x="192"/>
        <item x="196"/>
        <item x="200"/>
        <item x="204"/>
        <item x="208"/>
        <item x="212"/>
        <item x="216"/>
        <item x="220"/>
        <item x="224"/>
        <item x="228"/>
        <item x="232"/>
        <item x="236"/>
        <item x="240"/>
        <item x="244"/>
        <item x="248"/>
        <item x="252"/>
        <item x="256"/>
        <item x="260"/>
        <item x="264"/>
        <item x="268"/>
        <item x="272"/>
        <item x="276"/>
        <item x="280"/>
        <item x="284"/>
        <item x="288"/>
        <item x="292"/>
        <item x="296"/>
        <item x="300"/>
        <item x="304"/>
        <item x="308"/>
        <item x="312"/>
        <item x="316"/>
        <item x="319"/>
        <item x="323"/>
        <item x="327"/>
        <item x="331"/>
        <item x="335"/>
        <item x="339"/>
        <item x="343"/>
        <item x="347"/>
        <item x="1"/>
        <item x="5"/>
        <item x="9"/>
        <item x="13"/>
        <item x="17"/>
        <item x="21"/>
        <item x="25"/>
        <item x="29"/>
        <item x="33"/>
        <item x="37"/>
        <item x="41"/>
        <item x="45"/>
        <item x="49"/>
        <item x="53"/>
        <item x="57"/>
        <item x="61"/>
        <item x="65"/>
        <item x="69"/>
        <item x="73"/>
        <item x="77"/>
        <item x="81"/>
        <item x="85"/>
        <item x="89"/>
        <item x="93"/>
        <item x="97"/>
        <item x="101"/>
        <item x="105"/>
        <item x="109"/>
        <item x="113"/>
        <item x="117"/>
        <item x="121"/>
        <item x="125"/>
        <item x="129"/>
        <item x="133"/>
        <item x="137"/>
        <item x="141"/>
        <item x="145"/>
        <item x="149"/>
        <item x="153"/>
        <item x="157"/>
        <item x="161"/>
        <item x="165"/>
        <item x="169"/>
        <item x="173"/>
        <item x="177"/>
        <item x="181"/>
        <item x="185"/>
        <item x="189"/>
        <item x="193"/>
        <item x="197"/>
        <item x="201"/>
        <item x="205"/>
        <item x="209"/>
        <item x="213"/>
        <item x="217"/>
        <item x="221"/>
        <item x="225"/>
        <item x="229"/>
        <item x="233"/>
        <item x="237"/>
        <item x="241"/>
        <item x="245"/>
        <item x="249"/>
        <item x="253"/>
        <item x="257"/>
        <item x="261"/>
        <item x="265"/>
        <item x="269"/>
        <item x="273"/>
        <item x="277"/>
        <item x="281"/>
        <item x="285"/>
        <item x="289"/>
        <item x="293"/>
        <item x="297"/>
        <item x="301"/>
        <item x="305"/>
        <item x="309"/>
        <item x="313"/>
        <item x="317"/>
        <item x="320"/>
        <item x="324"/>
        <item x="328"/>
        <item x="332"/>
        <item x="336"/>
        <item x="340"/>
        <item x="344"/>
        <item x="348"/>
        <item x="2"/>
        <item x="6"/>
        <item x="10"/>
        <item x="14"/>
        <item x="18"/>
        <item x="22"/>
        <item x="26"/>
        <item x="30"/>
        <item x="34"/>
        <item x="38"/>
        <item x="42"/>
        <item x="46"/>
        <item x="50"/>
        <item x="54"/>
        <item x="58"/>
        <item x="62"/>
        <item x="66"/>
        <item x="70"/>
        <item x="74"/>
        <item x="78"/>
        <item x="82"/>
        <item x="86"/>
        <item x="90"/>
        <item x="94"/>
        <item x="98"/>
        <item x="102"/>
        <item x="106"/>
        <item x="110"/>
        <item x="114"/>
        <item x="118"/>
        <item x="122"/>
        <item x="126"/>
        <item x="130"/>
        <item x="134"/>
        <item x="138"/>
        <item x="142"/>
        <item x="146"/>
        <item x="150"/>
        <item x="154"/>
        <item x="158"/>
        <item x="162"/>
        <item x="166"/>
        <item x="170"/>
        <item x="174"/>
        <item x="178"/>
        <item x="182"/>
        <item x="186"/>
        <item x="190"/>
        <item x="194"/>
        <item x="198"/>
        <item x="202"/>
        <item x="206"/>
        <item x="210"/>
        <item x="214"/>
        <item x="218"/>
        <item x="222"/>
        <item x="226"/>
        <item x="230"/>
        <item x="234"/>
        <item x="238"/>
        <item x="242"/>
        <item x="246"/>
        <item x="250"/>
        <item x="254"/>
        <item x="258"/>
        <item x="262"/>
        <item x="266"/>
        <item x="270"/>
        <item x="274"/>
        <item x="278"/>
        <item x="282"/>
        <item x="286"/>
        <item x="290"/>
        <item x="294"/>
        <item x="298"/>
        <item x="302"/>
        <item x="306"/>
        <item x="310"/>
        <item x="314"/>
        <item x="321"/>
        <item x="325"/>
        <item x="329"/>
        <item x="333"/>
        <item x="337"/>
        <item x="341"/>
        <item x="345"/>
        <item x="349"/>
        <item x="3"/>
        <item x="7"/>
        <item x="11"/>
        <item x="15"/>
        <item x="19"/>
        <item x="23"/>
        <item x="27"/>
        <item x="31"/>
        <item x="35"/>
        <item x="39"/>
        <item x="43"/>
        <item x="47"/>
        <item x="51"/>
        <item x="55"/>
        <item x="59"/>
        <item x="63"/>
        <item x="67"/>
        <item x="71"/>
        <item x="75"/>
        <item x="79"/>
        <item x="83"/>
        <item x="87"/>
        <item x="91"/>
        <item x="95"/>
        <item x="99"/>
        <item x="103"/>
        <item x="107"/>
        <item x="111"/>
        <item x="115"/>
        <item x="119"/>
        <item x="123"/>
        <item x="127"/>
        <item x="131"/>
        <item x="135"/>
        <item x="139"/>
        <item x="143"/>
        <item x="147"/>
        <item x="151"/>
        <item x="155"/>
        <item x="159"/>
        <item x="163"/>
        <item x="167"/>
        <item x="171"/>
        <item x="175"/>
        <item x="179"/>
        <item x="183"/>
        <item x="187"/>
        <item x="191"/>
        <item x="195"/>
        <item x="199"/>
        <item x="203"/>
        <item x="207"/>
        <item x="211"/>
        <item x="215"/>
        <item x="219"/>
        <item x="223"/>
        <item x="227"/>
        <item x="231"/>
        <item x="235"/>
        <item x="239"/>
        <item x="243"/>
        <item x="247"/>
        <item x="251"/>
        <item x="255"/>
        <item x="259"/>
        <item x="263"/>
        <item x="267"/>
        <item x="271"/>
        <item x="275"/>
        <item x="279"/>
        <item x="283"/>
        <item x="287"/>
        <item x="291"/>
        <item x="295"/>
        <item x="299"/>
        <item x="303"/>
        <item x="307"/>
        <item x="311"/>
        <item x="315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 sortType="ascending">
      <items count="91">
        <item x="0"/>
        <item x="89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</pivotFields>
  <rowFields count="2">
    <field x="7"/>
    <field x="6"/>
  </rowFields>
  <rowItems count="4">
    <i>
      <x v="89"/>
    </i>
    <i r="1">
      <x v="1"/>
    </i>
    <i r="1">
      <x v="2"/>
    </i>
    <i t="grand">
      <x/>
    </i>
  </rowItems>
  <colFields count="1">
    <field x="1"/>
  </colFields>
  <colItems count="5">
    <i>
      <x v="1"/>
    </i>
    <i>
      <x v="3"/>
    </i>
    <i>
      <x v="5"/>
    </i>
    <i>
      <x v="8"/>
    </i>
    <i t="grand">
      <x/>
    </i>
  </colItems>
  <dataFields count="1">
    <dataField name="Max of yoy_growth_rate" fld="4" subtotal="max" baseField="1" baseItem="5"/>
  </dataFields>
  <formats count="3">
    <format dxfId="3">
      <pivotArea type="topRight" dataOnly="0" labelOnly="1" outline="0" offset="RP1" fieldPosition="0"/>
    </format>
    <format dxfId="2">
      <pivotArea dataOnly="0" labelOnly="1" offset="IV1" fieldPosition="0">
        <references count="1">
          <reference field="7" count="1">
            <x v="56"/>
          </reference>
        </references>
      </pivotArea>
    </format>
    <format dxfId="1">
      <pivotArea dataOnly="0" labelOnly="1" fieldPosition="0">
        <references count="2">
          <reference field="6" count="1">
            <x v="1"/>
          </reference>
          <reference field="7" count="1" selected="0">
            <x v="56"/>
          </reference>
        </references>
      </pivotArea>
    </format>
  </formats>
  <chartFormats count="4">
    <chartFormat chart="14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4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4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thisYear" evalOrder="-1" id="5">
      <autoFilter ref="A1">
        <filterColumn colId="0">
          <dynamicFilter type="thisYear" val="46023" maxVal="4638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529FEC-36B7-48F3-BAD1-1663490DE55C}" name="PivotTable2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28">
  <location ref="A2:B136" firstHeaderRow="1" firstDataRow="1" firstDataCol="1"/>
  <pivotFields count="8">
    <pivotField numFmtId="14" showAll="0">
      <items count="351"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 sortType="descending">
      <items count="351">
        <item x="2"/>
        <item x="6"/>
        <item x="10"/>
        <item x="14"/>
        <item x="18"/>
        <item x="22"/>
        <item x="26"/>
        <item x="30"/>
        <item x="34"/>
        <item x="38"/>
        <item x="42"/>
        <item x="46"/>
        <item x="50"/>
        <item x="54"/>
        <item x="58"/>
        <item x="62"/>
        <item x="66"/>
        <item x="70"/>
        <item x="74"/>
        <item x="78"/>
        <item x="82"/>
        <item x="86"/>
        <item x="90"/>
        <item x="94"/>
        <item x="98"/>
        <item x="102"/>
        <item x="106"/>
        <item x="110"/>
        <item x="114"/>
        <item x="118"/>
        <item x="122"/>
        <item x="126"/>
        <item x="130"/>
        <item x="134"/>
        <item x="138"/>
        <item x="142"/>
        <item x="146"/>
        <item x="150"/>
        <item x="154"/>
        <item x="158"/>
        <item x="162"/>
        <item x="166"/>
        <item x="170"/>
        <item x="174"/>
        <item x="178"/>
        <item x="182"/>
        <item x="186"/>
        <item x="190"/>
        <item x="194"/>
        <item x="198"/>
        <item x="202"/>
        <item x="206"/>
        <item x="210"/>
        <item x="214"/>
        <item x="218"/>
        <item x="222"/>
        <item x="226"/>
        <item x="230"/>
        <item x="234"/>
        <item x="238"/>
        <item x="242"/>
        <item x="246"/>
        <item x="250"/>
        <item x="254"/>
        <item x="258"/>
        <item x="262"/>
        <item x="266"/>
        <item x="270"/>
        <item x="274"/>
        <item x="278"/>
        <item x="282"/>
        <item x="286"/>
        <item x="290"/>
        <item x="294"/>
        <item x="298"/>
        <item x="302"/>
        <item x="306"/>
        <item x="310"/>
        <item x="314"/>
        <item x="318"/>
        <item x="322"/>
        <item x="326"/>
        <item x="330"/>
        <item x="334"/>
        <item x="338"/>
        <item x="342"/>
        <item x="346"/>
        <item x="3"/>
        <item x="7"/>
        <item x="11"/>
        <item x="15"/>
        <item x="19"/>
        <item x="23"/>
        <item x="27"/>
        <item x="31"/>
        <item x="35"/>
        <item x="39"/>
        <item x="43"/>
        <item x="47"/>
        <item x="51"/>
        <item x="55"/>
        <item x="59"/>
        <item x="63"/>
        <item x="67"/>
        <item x="71"/>
        <item x="75"/>
        <item x="79"/>
        <item x="83"/>
        <item x="87"/>
        <item x="91"/>
        <item x="95"/>
        <item x="99"/>
        <item x="103"/>
        <item x="107"/>
        <item x="111"/>
        <item x="115"/>
        <item x="119"/>
        <item x="123"/>
        <item x="127"/>
        <item x="131"/>
        <item x="135"/>
        <item x="139"/>
        <item x="143"/>
        <item x="147"/>
        <item x="151"/>
        <item x="155"/>
        <item x="159"/>
        <item x="163"/>
        <item x="167"/>
        <item x="171"/>
        <item x="175"/>
        <item x="179"/>
        <item x="183"/>
        <item x="187"/>
        <item x="191"/>
        <item x="195"/>
        <item x="199"/>
        <item x="203"/>
        <item x="207"/>
        <item x="211"/>
        <item x="215"/>
        <item x="219"/>
        <item x="223"/>
        <item x="227"/>
        <item x="231"/>
        <item x="235"/>
        <item x="239"/>
        <item x="243"/>
        <item x="247"/>
        <item x="251"/>
        <item x="255"/>
        <item x="259"/>
        <item x="263"/>
        <item x="267"/>
        <item x="271"/>
        <item x="275"/>
        <item x="279"/>
        <item x="283"/>
        <item x="287"/>
        <item x="291"/>
        <item x="295"/>
        <item x="299"/>
        <item x="303"/>
        <item x="307"/>
        <item x="311"/>
        <item x="315"/>
        <item x="319"/>
        <item x="323"/>
        <item x="327"/>
        <item x="331"/>
        <item x="335"/>
        <item x="339"/>
        <item x="343"/>
        <item x="347"/>
        <item x="0"/>
        <item x="4"/>
        <item x="8"/>
        <item x="12"/>
        <item x="16"/>
        <item x="20"/>
        <item x="24"/>
        <item x="28"/>
        <item x="32"/>
        <item x="36"/>
        <item x="40"/>
        <item x="44"/>
        <item x="48"/>
        <item x="52"/>
        <item x="56"/>
        <item x="60"/>
        <item x="64"/>
        <item x="68"/>
        <item x="72"/>
        <item x="76"/>
        <item x="80"/>
        <item x="84"/>
        <item x="88"/>
        <item x="92"/>
        <item x="96"/>
        <item x="100"/>
        <item x="104"/>
        <item x="108"/>
        <item x="112"/>
        <item x="116"/>
        <item x="120"/>
        <item x="124"/>
        <item x="128"/>
        <item x="132"/>
        <item x="136"/>
        <item x="140"/>
        <item x="144"/>
        <item x="148"/>
        <item x="152"/>
        <item x="156"/>
        <item x="160"/>
        <item x="164"/>
        <item x="168"/>
        <item x="172"/>
        <item x="176"/>
        <item x="180"/>
        <item x="184"/>
        <item x="188"/>
        <item x="192"/>
        <item x="196"/>
        <item x="200"/>
        <item x="204"/>
        <item x="208"/>
        <item x="212"/>
        <item x="216"/>
        <item x="220"/>
        <item x="224"/>
        <item x="228"/>
        <item x="232"/>
        <item x="236"/>
        <item x="240"/>
        <item x="244"/>
        <item x="248"/>
        <item x="252"/>
        <item x="256"/>
        <item x="260"/>
        <item x="264"/>
        <item x="268"/>
        <item x="272"/>
        <item x="276"/>
        <item x="280"/>
        <item x="284"/>
        <item x="288"/>
        <item x="292"/>
        <item x="296"/>
        <item x="300"/>
        <item x="304"/>
        <item x="308"/>
        <item x="312"/>
        <item x="316"/>
        <item x="320"/>
        <item x="324"/>
        <item x="328"/>
        <item x="332"/>
        <item x="336"/>
        <item x="340"/>
        <item x="344"/>
        <item x="348"/>
        <item x="1"/>
        <item x="5"/>
        <item x="9"/>
        <item x="13"/>
        <item x="17"/>
        <item x="21"/>
        <item x="25"/>
        <item x="29"/>
        <item x="33"/>
        <item x="37"/>
        <item x="41"/>
        <item x="45"/>
        <item x="49"/>
        <item x="53"/>
        <item x="57"/>
        <item x="61"/>
        <item x="65"/>
        <item x="69"/>
        <item x="73"/>
        <item x="77"/>
        <item x="81"/>
        <item x="85"/>
        <item x="89"/>
        <item x="93"/>
        <item x="97"/>
        <item x="101"/>
        <item x="105"/>
        <item x="109"/>
        <item x="113"/>
        <item x="117"/>
        <item x="121"/>
        <item x="125"/>
        <item x="129"/>
        <item x="133"/>
        <item x="137"/>
        <item x="141"/>
        <item x="145"/>
        <item x="149"/>
        <item x="153"/>
        <item x="157"/>
        <item x="161"/>
        <item x="165"/>
        <item x="169"/>
        <item x="173"/>
        <item x="177"/>
        <item x="181"/>
        <item x="185"/>
        <item x="189"/>
        <item x="193"/>
        <item x="197"/>
        <item x="201"/>
        <item x="205"/>
        <item x="209"/>
        <item x="213"/>
        <item x="217"/>
        <item x="221"/>
        <item x="225"/>
        <item x="229"/>
        <item x="233"/>
        <item x="237"/>
        <item x="241"/>
        <item x="245"/>
        <item x="249"/>
        <item x="253"/>
        <item x="257"/>
        <item x="261"/>
        <item x="265"/>
        <item x="269"/>
        <item x="273"/>
        <item x="277"/>
        <item x="281"/>
        <item x="285"/>
        <item x="289"/>
        <item x="293"/>
        <item x="297"/>
        <item x="301"/>
        <item x="305"/>
        <item x="309"/>
        <item x="313"/>
        <item x="317"/>
        <item x="321"/>
        <item x="325"/>
        <item x="329"/>
        <item x="333"/>
        <item x="337"/>
        <item x="341"/>
        <item x="345"/>
        <item x="349"/>
        <item t="default"/>
      </items>
    </pivotField>
    <pivotField dataField="1" showAll="0"/>
    <pivotField showAll="0"/>
    <pivotField showAll="0">
      <items count="3">
        <item x="0"/>
        <item x="1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 sortType="descending">
      <items count="7">
        <item sd="0" x="4"/>
        <item sd="0" x="3"/>
        <item sd="0" x="2"/>
        <item sd="0" x="1"/>
        <item sd="0" x="5"/>
        <item sd="0" x="0"/>
        <item t="default"/>
      </items>
    </pivotField>
    <pivotField axis="axisRow" showAll="0" sortType="descending">
      <items count="91"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89"/>
        <item x="0"/>
        <item t="default"/>
      </items>
    </pivotField>
  </pivotFields>
  <rowFields count="2">
    <field x="7"/>
    <field x="6"/>
  </rowFields>
  <rowItems count="134">
    <i>
      <x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7"/>
    </i>
    <i r="1">
      <x/>
    </i>
    <i r="1">
      <x v="1"/>
    </i>
    <i r="1">
      <x v="2"/>
    </i>
    <i r="1">
      <x v="3"/>
    </i>
    <i>
      <x v="8"/>
    </i>
    <i r="1">
      <x/>
    </i>
    <i r="1">
      <x v="1"/>
    </i>
    <i r="1">
      <x v="2"/>
    </i>
    <i r="1">
      <x v="3"/>
    </i>
    <i>
      <x v="9"/>
    </i>
    <i r="1">
      <x/>
    </i>
    <i r="1">
      <x v="1"/>
    </i>
    <i r="1">
      <x v="2"/>
    </i>
    <i r="1">
      <x v="3"/>
    </i>
    <i>
      <x v="10"/>
    </i>
    <i r="1">
      <x/>
    </i>
    <i r="1">
      <x v="1"/>
    </i>
    <i r="1">
      <x v="2"/>
    </i>
    <i r="1">
      <x v="3"/>
    </i>
    <i>
      <x v="11"/>
    </i>
    <i r="1">
      <x/>
    </i>
    <i r="1">
      <x v="1"/>
    </i>
    <i r="1">
      <x v="2"/>
    </i>
    <i r="1">
      <x v="3"/>
    </i>
    <i>
      <x v="12"/>
    </i>
    <i r="1">
      <x/>
    </i>
    <i r="1">
      <x v="1"/>
    </i>
    <i r="1">
      <x v="2"/>
    </i>
    <i r="1">
      <x v="3"/>
    </i>
    <i>
      <x v="13"/>
    </i>
    <i r="1">
      <x/>
    </i>
    <i r="1">
      <x v="1"/>
    </i>
    <i r="1">
      <x v="2"/>
    </i>
    <i r="1">
      <x v="3"/>
    </i>
    <i>
      <x v="14"/>
    </i>
    <i r="1">
      <x/>
    </i>
    <i r="1">
      <x v="1"/>
    </i>
    <i r="1">
      <x v="2"/>
    </i>
    <i r="1">
      <x v="3"/>
    </i>
    <i>
      <x v="15"/>
    </i>
    <i r="1">
      <x/>
    </i>
    <i r="1">
      <x v="1"/>
    </i>
    <i r="1">
      <x v="2"/>
    </i>
    <i r="1">
      <x v="3"/>
    </i>
    <i>
      <x v="16"/>
    </i>
    <i r="1">
      <x/>
    </i>
    <i r="1">
      <x v="1"/>
    </i>
    <i r="1">
      <x v="2"/>
    </i>
    <i r="1">
      <x v="3"/>
    </i>
    <i>
      <x v="17"/>
    </i>
    <i r="1">
      <x/>
    </i>
    <i r="1">
      <x v="1"/>
    </i>
    <i r="1">
      <x v="2"/>
    </i>
    <i r="1">
      <x v="3"/>
    </i>
    <i>
      <x v="18"/>
    </i>
    <i r="1">
      <x/>
    </i>
    <i r="1">
      <x v="1"/>
    </i>
    <i r="1">
      <x v="2"/>
    </i>
    <i r="1">
      <x v="3"/>
    </i>
    <i>
      <x v="19"/>
    </i>
    <i r="1">
      <x/>
    </i>
    <i r="1">
      <x v="1"/>
    </i>
    <i r="1">
      <x v="2"/>
    </i>
    <i r="1">
      <x v="3"/>
    </i>
    <i>
      <x v="20"/>
    </i>
    <i r="1">
      <x/>
    </i>
    <i r="1">
      <x v="1"/>
    </i>
    <i r="1">
      <x v="2"/>
    </i>
    <i r="1">
      <x v="3"/>
    </i>
    <i>
      <x v="21"/>
    </i>
    <i r="1">
      <x/>
    </i>
    <i r="1">
      <x v="1"/>
    </i>
    <i r="1">
      <x v="2"/>
    </i>
    <i r="1">
      <x v="3"/>
    </i>
    <i>
      <x v="22"/>
    </i>
    <i r="1">
      <x/>
    </i>
    <i r="1">
      <x v="1"/>
    </i>
    <i r="1">
      <x v="2"/>
    </i>
    <i r="1">
      <x v="3"/>
    </i>
    <i>
      <x v="23"/>
    </i>
    <i r="1">
      <x/>
    </i>
    <i r="1">
      <x v="1"/>
    </i>
    <i r="1">
      <x v="2"/>
    </i>
    <i r="1">
      <x v="3"/>
    </i>
    <i>
      <x v="24"/>
    </i>
    <i r="1">
      <x/>
    </i>
    <i r="1">
      <x v="1"/>
    </i>
    <i r="1">
      <x v="2"/>
    </i>
    <i r="1">
      <x v="3"/>
    </i>
    <i>
      <x v="25"/>
    </i>
    <i r="1">
      <x/>
    </i>
    <i r="1">
      <x v="1"/>
    </i>
    <i r="1">
      <x v="2"/>
    </i>
    <i r="1">
      <x v="3"/>
    </i>
    <i>
      <x v="26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 economic_score" fld="2" subtotal="max" baseField="7" baseItem="4"/>
  </dataFields>
  <chartFormats count="1"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NewerThan" evalOrder="-1" id="26">
      <autoFilter ref="A1">
        <filterColumn colId="0">
          <customFilters>
            <customFilter operator="greaterThan" val="3652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E35A68-7F75-4F19-9C6A-C0A6EE776A0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E11:F362" firstHeaderRow="1" firstDataRow="1" firstDataCol="1"/>
  <pivotFields count="8">
    <pivotField axis="axisRow" numFmtId="14" showAll="0" sortType="descending">
      <items count="3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t="default"/>
      </items>
    </pivotField>
    <pivotField showAll="0" sortType="descending">
      <items count="351">
        <item x="2"/>
        <item x="6"/>
        <item x="10"/>
        <item x="14"/>
        <item x="18"/>
        <item x="22"/>
        <item x="26"/>
        <item x="30"/>
        <item x="34"/>
        <item x="38"/>
        <item x="42"/>
        <item x="46"/>
        <item x="50"/>
        <item x="54"/>
        <item x="58"/>
        <item x="62"/>
        <item x="66"/>
        <item x="70"/>
        <item x="74"/>
        <item x="78"/>
        <item x="82"/>
        <item x="86"/>
        <item x="90"/>
        <item x="94"/>
        <item x="98"/>
        <item x="102"/>
        <item x="106"/>
        <item x="110"/>
        <item x="114"/>
        <item x="118"/>
        <item x="122"/>
        <item x="126"/>
        <item x="130"/>
        <item x="134"/>
        <item x="138"/>
        <item x="142"/>
        <item x="146"/>
        <item x="150"/>
        <item x="154"/>
        <item x="158"/>
        <item x="162"/>
        <item x="166"/>
        <item x="170"/>
        <item x="174"/>
        <item x="178"/>
        <item x="182"/>
        <item x="186"/>
        <item x="190"/>
        <item x="194"/>
        <item x="198"/>
        <item x="202"/>
        <item x="206"/>
        <item x="210"/>
        <item x="214"/>
        <item x="218"/>
        <item x="222"/>
        <item x="226"/>
        <item x="230"/>
        <item x="234"/>
        <item x="238"/>
        <item x="242"/>
        <item x="246"/>
        <item x="250"/>
        <item x="254"/>
        <item x="258"/>
        <item x="262"/>
        <item x="266"/>
        <item x="270"/>
        <item x="274"/>
        <item x="278"/>
        <item x="282"/>
        <item x="286"/>
        <item x="290"/>
        <item x="294"/>
        <item x="298"/>
        <item x="302"/>
        <item x="306"/>
        <item x="310"/>
        <item x="314"/>
        <item x="318"/>
        <item x="322"/>
        <item x="326"/>
        <item x="330"/>
        <item x="334"/>
        <item x="338"/>
        <item x="342"/>
        <item x="346"/>
        <item x="3"/>
        <item x="7"/>
        <item x="11"/>
        <item x="15"/>
        <item x="19"/>
        <item x="23"/>
        <item x="27"/>
        <item x="31"/>
        <item x="35"/>
        <item x="39"/>
        <item x="43"/>
        <item x="47"/>
        <item x="51"/>
        <item x="55"/>
        <item x="59"/>
        <item x="63"/>
        <item x="67"/>
        <item x="71"/>
        <item x="75"/>
        <item x="79"/>
        <item x="83"/>
        <item x="87"/>
        <item x="91"/>
        <item x="95"/>
        <item x="99"/>
        <item x="103"/>
        <item x="107"/>
        <item x="111"/>
        <item x="115"/>
        <item x="119"/>
        <item x="123"/>
        <item x="127"/>
        <item x="131"/>
        <item x="135"/>
        <item x="139"/>
        <item x="143"/>
        <item x="147"/>
        <item x="151"/>
        <item x="155"/>
        <item x="159"/>
        <item x="163"/>
        <item x="167"/>
        <item x="171"/>
        <item x="175"/>
        <item x="179"/>
        <item x="183"/>
        <item x="187"/>
        <item x="191"/>
        <item x="195"/>
        <item x="199"/>
        <item x="203"/>
        <item x="207"/>
        <item x="211"/>
        <item x="215"/>
        <item x="219"/>
        <item x="223"/>
        <item x="227"/>
        <item x="231"/>
        <item x="235"/>
        <item x="239"/>
        <item x="243"/>
        <item x="247"/>
        <item x="251"/>
        <item x="255"/>
        <item x="259"/>
        <item x="263"/>
        <item x="267"/>
        <item x="271"/>
        <item x="275"/>
        <item x="279"/>
        <item x="283"/>
        <item x="287"/>
        <item x="291"/>
        <item x="295"/>
        <item x="299"/>
        <item x="303"/>
        <item x="307"/>
        <item x="311"/>
        <item x="315"/>
        <item x="319"/>
        <item x="323"/>
        <item x="327"/>
        <item x="331"/>
        <item x="335"/>
        <item x="339"/>
        <item x="343"/>
        <item x="347"/>
        <item x="0"/>
        <item x="4"/>
        <item x="8"/>
        <item x="12"/>
        <item x="16"/>
        <item x="20"/>
        <item x="24"/>
        <item x="28"/>
        <item x="32"/>
        <item x="36"/>
        <item x="40"/>
        <item x="44"/>
        <item x="48"/>
        <item x="52"/>
        <item x="56"/>
        <item x="60"/>
        <item x="64"/>
        <item x="68"/>
        <item x="72"/>
        <item x="76"/>
        <item x="80"/>
        <item x="84"/>
        <item x="88"/>
        <item x="92"/>
        <item x="96"/>
        <item x="100"/>
        <item x="104"/>
        <item x="108"/>
        <item x="112"/>
        <item x="116"/>
        <item x="120"/>
        <item x="124"/>
        <item x="128"/>
        <item x="132"/>
        <item x="136"/>
        <item x="140"/>
        <item x="144"/>
        <item x="148"/>
        <item x="152"/>
        <item x="156"/>
        <item x="160"/>
        <item x="164"/>
        <item x="168"/>
        <item x="172"/>
        <item x="176"/>
        <item x="180"/>
        <item x="184"/>
        <item x="188"/>
        <item x="192"/>
        <item x="196"/>
        <item x="200"/>
        <item x="204"/>
        <item x="208"/>
        <item x="212"/>
        <item x="216"/>
        <item x="220"/>
        <item x="224"/>
        <item x="228"/>
        <item x="232"/>
        <item x="236"/>
        <item x="240"/>
        <item x="244"/>
        <item x="248"/>
        <item x="252"/>
        <item x="256"/>
        <item x="260"/>
        <item x="264"/>
        <item x="268"/>
        <item x="272"/>
        <item x="276"/>
        <item x="280"/>
        <item x="284"/>
        <item x="288"/>
        <item x="292"/>
        <item x="296"/>
        <item x="300"/>
        <item x="304"/>
        <item x="308"/>
        <item x="312"/>
        <item x="316"/>
        <item x="320"/>
        <item x="324"/>
        <item x="328"/>
        <item x="332"/>
        <item x="336"/>
        <item x="340"/>
        <item x="344"/>
        <item x="348"/>
        <item x="1"/>
        <item x="5"/>
        <item x="9"/>
        <item x="13"/>
        <item x="17"/>
        <item x="21"/>
        <item x="25"/>
        <item x="29"/>
        <item x="33"/>
        <item x="37"/>
        <item x="41"/>
        <item x="45"/>
        <item x="49"/>
        <item x="53"/>
        <item x="57"/>
        <item x="61"/>
        <item x="65"/>
        <item x="69"/>
        <item x="73"/>
        <item x="77"/>
        <item x="81"/>
        <item x="85"/>
        <item x="89"/>
        <item x="93"/>
        <item x="97"/>
        <item x="101"/>
        <item x="105"/>
        <item x="109"/>
        <item x="113"/>
        <item x="117"/>
        <item x="121"/>
        <item x="125"/>
        <item x="129"/>
        <item x="133"/>
        <item x="137"/>
        <item x="141"/>
        <item x="145"/>
        <item x="149"/>
        <item x="153"/>
        <item x="157"/>
        <item x="161"/>
        <item x="165"/>
        <item x="169"/>
        <item x="173"/>
        <item x="177"/>
        <item x="181"/>
        <item x="185"/>
        <item x="189"/>
        <item x="193"/>
        <item x="197"/>
        <item x="201"/>
        <item x="205"/>
        <item x="209"/>
        <item x="213"/>
        <item x="217"/>
        <item x="221"/>
        <item x="225"/>
        <item x="229"/>
        <item x="233"/>
        <item x="237"/>
        <item x="241"/>
        <item x="245"/>
        <item x="249"/>
        <item x="253"/>
        <item x="257"/>
        <item x="261"/>
        <item x="265"/>
        <item x="269"/>
        <item x="273"/>
        <item x="277"/>
        <item x="281"/>
        <item x="285"/>
        <item x="289"/>
        <item x="293"/>
        <item x="297"/>
        <item x="301"/>
        <item x="305"/>
        <item x="309"/>
        <item x="313"/>
        <item x="317"/>
        <item x="321"/>
        <item x="325"/>
        <item x="329"/>
        <item x="333"/>
        <item x="337"/>
        <item x="341"/>
        <item x="345"/>
        <item x="349"/>
        <item t="default"/>
      </items>
    </pivotField>
    <pivotField dataField="1" showAll="0"/>
    <pivotField showAll="0"/>
    <pivotField showAll="0">
      <items count="3">
        <item x="0"/>
        <item x="1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 sortType="descending">
      <items count="7">
        <item sd="0" x="4"/>
        <item sd="0" x="3"/>
        <item sd="0" x="2"/>
        <item sd="0" x="1"/>
        <item sd="0" x="5"/>
        <item sd="0" x="0"/>
        <item t="default"/>
      </items>
    </pivotField>
    <pivotField showAll="0" sortType="descending">
      <items count="91"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89"/>
        <item x="0"/>
        <item t="default"/>
      </items>
    </pivotField>
  </pivotFields>
  <rowFields count="1">
    <field x="0"/>
  </rowFields>
  <rowItems count="3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 t="grand">
      <x/>
    </i>
  </rowItems>
  <colItems count="1">
    <i/>
  </colItems>
  <dataFields count="1">
    <dataField name=" economic_score" fld="2" subtotal="max" baseField="7" baseItem="4"/>
  </dataFields>
  <chartFormats count="1"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5C7D3B-9FFF-4775-86B7-1FEEC092D23D}" autoFormatId="16" applyNumberFormats="0" applyBorderFormats="0" applyFontFormats="0" applyPatternFormats="0" applyAlignmentFormats="0" applyWidthHeightFormats="0">
  <queryTableRefresh nextId="6">
    <queryTableFields count="5">
      <queryTableField id="1" name="series_key" tableColumnId="1"/>
      <queryTableField id="2" name="indicator_name" tableColumnId="2"/>
      <queryTableField id="3" name="quarter_start" tableColumnId="3"/>
      <queryTableField id="4" name="quarter_label" tableColumnId="4"/>
      <queryTableField id="5" name="yoy_growth_rat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1DEE41D-04D3-4D1A-9585-9D9074696A5B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quarter_start" tableColumnId="1"/>
      <queryTableField id="2" name="quarter_label" tableColumnId="2"/>
      <queryTableField id="3" name="economic_score" tableColumnId="3"/>
      <queryTableField id="4" name="indicator_used" tableColumnId="4"/>
      <queryTableField id="6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78B2D9-EDA4-458A-867E-FD6FA730F416}" name="data_quarterly_yoy_growth" displayName="data_quarterly_yoy_growth" ref="A1:E2227" tableType="queryTable" totalsRowShown="0">
  <autoFilter ref="A1:E2227" xr:uid="{4A78B2D9-EDA4-458A-867E-FD6FA730F416}">
    <filterColumn colId="1">
      <filters>
        <filter val="Federal funds rate"/>
      </filters>
    </filterColumn>
    <filterColumn colId="4">
      <customFilters>
        <customFilter operator="notEqual" val=" "/>
      </customFilters>
    </filterColumn>
  </autoFilter>
  <sortState xmlns:xlrd2="http://schemas.microsoft.com/office/spreadsheetml/2017/richdata2" ref="A2:E2227">
    <sortCondition descending="1" ref="C1:C2227"/>
  </sortState>
  <tableColumns count="5">
    <tableColumn id="1" xr3:uid="{59DF0EB2-5B37-48F1-94D4-EEB6CC08F4DE}" uniqueName="1" name="series_key" queryTableFieldId="1" dataDxfId="9"/>
    <tableColumn id="2" xr3:uid="{D4B74D2F-C308-4D5C-BE5D-FF959824A409}" uniqueName="2" name="indicator_name" queryTableFieldId="2" dataDxfId="8"/>
    <tableColumn id="3" xr3:uid="{06B2A307-C53A-4386-B3C9-7BCE3E703C7C}" uniqueName="3" name="quarter_start" queryTableFieldId="3" dataDxfId="7"/>
    <tableColumn id="4" xr3:uid="{2A66CCB6-AF55-47BF-BF23-3D84D4843DD1}" uniqueName="4" name="quarter_label" queryTableFieldId="4" dataDxfId="6"/>
    <tableColumn id="5" xr3:uid="{2ACD830B-71AF-4F27-8A3C-7ADFBB044990}" uniqueName="5" name="yoy_growth_rate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6B9958-B4C4-4AD5-9FEE-3169E0FF86D6}" name="economy_score" displayName="economy_score" ref="A1:E351" tableType="queryTable" totalsRowShown="0">
  <autoFilter ref="A1:E351" xr:uid="{926B9958-B4C4-4AD5-9FEE-3169E0FF86D6}"/>
  <tableColumns count="5">
    <tableColumn id="1" xr3:uid="{3E6CBDB8-0B87-466A-8520-D82765FBA28E}" uniqueName="1" name="quarter_start" queryTableFieldId="1" dataDxfId="5"/>
    <tableColumn id="2" xr3:uid="{D0ED32C1-6225-450E-A47F-EEA511686AE4}" uniqueName="2" name="quarter_label" queryTableFieldId="2" dataDxfId="4"/>
    <tableColumn id="3" xr3:uid="{091EECB6-FA40-41F9-8121-97B105C7F2B8}" uniqueName="3" name="economic_score" queryTableFieldId="3"/>
    <tableColumn id="4" xr3:uid="{68AB2808-B892-41AC-89CA-40353B6C5B5F}" uniqueName="4" name="indicator_used" queryTableFieldId="4"/>
    <tableColumn id="5" xr3:uid="{928715DB-0189-4333-BA49-2B5345E4F946}" uniqueName="5" name="Status" queryTableFieldId="6" dataDxfId="0">
      <calculatedColumnFormula array="1">_xlfn.IFS(economy_score[[#This Row],[economic_score]]&lt;=40, "Bad", AND(economy_score[[#This Row],[economic_score]]&gt;40, economy_score[[#This Row],[economic_score]]&lt;= 60), "Stable", economy_score[[#This Row],[economic_score]] &gt; 60, "Growing")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4F5A7-B239-4CFB-9343-5E9F5BBA8B5E}">
  <dimension ref="A1:E2227"/>
  <sheetViews>
    <sheetView workbookViewId="0">
      <selection activeCell="G102" sqref="G102"/>
    </sheetView>
  </sheetViews>
  <sheetFormatPr defaultRowHeight="14.4" x14ac:dyDescent="0.3"/>
  <cols>
    <col min="1" max="1" width="11.88671875" bestFit="1" customWidth="1"/>
    <col min="2" max="2" width="21" bestFit="1" customWidth="1"/>
    <col min="3" max="3" width="14" bestFit="1" customWidth="1"/>
    <col min="4" max="4" width="14.33203125" bestFit="1" customWidth="1"/>
    <col min="5" max="5" width="16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3">
      <c r="A2" t="s">
        <v>5</v>
      </c>
      <c r="B2" t="s">
        <v>6</v>
      </c>
      <c r="C2" s="1">
        <v>46113</v>
      </c>
      <c r="D2" t="s">
        <v>324</v>
      </c>
      <c r="E2">
        <v>2.1</v>
      </c>
    </row>
    <row r="3" spans="1:5" hidden="1" x14ac:dyDescent="0.3">
      <c r="A3" t="s">
        <v>325</v>
      </c>
      <c r="B3" t="s">
        <v>326</v>
      </c>
      <c r="C3" s="1">
        <v>46113</v>
      </c>
      <c r="D3" t="s">
        <v>324</v>
      </c>
      <c r="E3">
        <v>3.26</v>
      </c>
    </row>
    <row r="4" spans="1:5" hidden="1" x14ac:dyDescent="0.3">
      <c r="A4" t="s">
        <v>327</v>
      </c>
      <c r="B4" t="s">
        <v>328</v>
      </c>
      <c r="C4" s="1">
        <v>46113</v>
      </c>
      <c r="D4" t="s">
        <v>324</v>
      </c>
      <c r="E4">
        <v>3.77</v>
      </c>
    </row>
    <row r="5" spans="1:5" x14ac:dyDescent="0.3">
      <c r="A5" t="s">
        <v>329</v>
      </c>
      <c r="B5" t="s">
        <v>330</v>
      </c>
      <c r="C5" s="1">
        <v>46113</v>
      </c>
      <c r="D5" t="s">
        <v>324</v>
      </c>
      <c r="E5">
        <v>-16.100000000000001</v>
      </c>
    </row>
    <row r="6" spans="1:5" hidden="1" x14ac:dyDescent="0.3">
      <c r="A6" t="s">
        <v>331</v>
      </c>
      <c r="B6" t="s">
        <v>332</v>
      </c>
      <c r="C6" s="1">
        <v>46113</v>
      </c>
      <c r="D6" t="s">
        <v>324</v>
      </c>
      <c r="E6">
        <v>6.37</v>
      </c>
    </row>
    <row r="7" spans="1:5" hidden="1" x14ac:dyDescent="0.3">
      <c r="A7" t="s">
        <v>333</v>
      </c>
      <c r="B7" t="s">
        <v>334</v>
      </c>
      <c r="C7" s="1">
        <v>46113</v>
      </c>
      <c r="D7" t="s">
        <v>324</v>
      </c>
      <c r="E7">
        <v>7.55</v>
      </c>
    </row>
    <row r="8" spans="1:5" hidden="1" x14ac:dyDescent="0.3">
      <c r="A8" t="s">
        <v>335</v>
      </c>
      <c r="B8" t="s">
        <v>336</v>
      </c>
      <c r="C8" s="1">
        <v>46113</v>
      </c>
      <c r="D8" t="s">
        <v>324</v>
      </c>
      <c r="E8">
        <v>-12.72</v>
      </c>
    </row>
    <row r="9" spans="1:5" hidden="1" x14ac:dyDescent="0.3">
      <c r="A9" t="s">
        <v>337</v>
      </c>
      <c r="B9" t="s">
        <v>338</v>
      </c>
      <c r="C9" s="1">
        <v>46113</v>
      </c>
      <c r="D9" t="s">
        <v>324</v>
      </c>
      <c r="E9">
        <v>0.23</v>
      </c>
    </row>
    <row r="10" spans="1:5" hidden="1" x14ac:dyDescent="0.3">
      <c r="A10" t="s">
        <v>371</v>
      </c>
      <c r="B10" t="s">
        <v>372</v>
      </c>
      <c r="C10" s="1">
        <v>46113</v>
      </c>
      <c r="D10" t="s">
        <v>324</v>
      </c>
      <c r="E10">
        <v>3.24</v>
      </c>
    </row>
    <row r="11" spans="1:5" hidden="1" x14ac:dyDescent="0.3">
      <c r="A11" t="s">
        <v>5</v>
      </c>
      <c r="B11" t="s">
        <v>6</v>
      </c>
      <c r="C11" s="1">
        <v>46023</v>
      </c>
      <c r="D11" t="s">
        <v>323</v>
      </c>
      <c r="E11">
        <v>2.68</v>
      </c>
    </row>
    <row r="12" spans="1:5" hidden="1" x14ac:dyDescent="0.3">
      <c r="A12" t="s">
        <v>325</v>
      </c>
      <c r="B12" t="s">
        <v>326</v>
      </c>
      <c r="C12" s="1">
        <v>46023</v>
      </c>
      <c r="D12" t="s">
        <v>323</v>
      </c>
      <c r="E12">
        <v>3.39</v>
      </c>
    </row>
    <row r="13" spans="1:5" hidden="1" x14ac:dyDescent="0.3">
      <c r="A13" t="s">
        <v>327</v>
      </c>
      <c r="B13" t="s">
        <v>328</v>
      </c>
      <c r="C13" s="1">
        <v>46023</v>
      </c>
      <c r="D13" t="s">
        <v>323</v>
      </c>
      <c r="E13">
        <v>3.71</v>
      </c>
    </row>
    <row r="14" spans="1:5" x14ac:dyDescent="0.3">
      <c r="A14" t="s">
        <v>329</v>
      </c>
      <c r="B14" t="s">
        <v>330</v>
      </c>
      <c r="C14" s="1">
        <v>46023</v>
      </c>
      <c r="D14" t="s">
        <v>323</v>
      </c>
      <c r="E14">
        <v>-15.94</v>
      </c>
    </row>
    <row r="15" spans="1:5" hidden="1" x14ac:dyDescent="0.3">
      <c r="A15" t="s">
        <v>331</v>
      </c>
      <c r="B15" t="s">
        <v>332</v>
      </c>
      <c r="C15" s="1">
        <v>46023</v>
      </c>
      <c r="D15" t="s">
        <v>323</v>
      </c>
      <c r="E15">
        <v>3.9</v>
      </c>
    </row>
    <row r="16" spans="1:5" hidden="1" x14ac:dyDescent="0.3">
      <c r="A16" t="s">
        <v>333</v>
      </c>
      <c r="B16" t="s">
        <v>334</v>
      </c>
      <c r="C16" s="1">
        <v>46023</v>
      </c>
      <c r="D16" t="s">
        <v>323</v>
      </c>
      <c r="E16">
        <v>-57.62</v>
      </c>
    </row>
    <row r="17" spans="1:5" hidden="1" x14ac:dyDescent="0.3">
      <c r="A17" t="s">
        <v>335</v>
      </c>
      <c r="B17" t="s">
        <v>336</v>
      </c>
      <c r="C17" s="1">
        <v>46023</v>
      </c>
      <c r="D17" t="s">
        <v>323</v>
      </c>
      <c r="E17">
        <v>-14.01</v>
      </c>
    </row>
    <row r="18" spans="1:5" hidden="1" x14ac:dyDescent="0.3">
      <c r="A18" t="s">
        <v>337</v>
      </c>
      <c r="B18" t="s">
        <v>338</v>
      </c>
      <c r="C18" s="1">
        <v>46023</v>
      </c>
      <c r="D18" t="s">
        <v>323</v>
      </c>
      <c r="E18">
        <v>0.15</v>
      </c>
    </row>
    <row r="19" spans="1:5" hidden="1" x14ac:dyDescent="0.3">
      <c r="A19" t="s">
        <v>371</v>
      </c>
      <c r="B19" t="s">
        <v>372</v>
      </c>
      <c r="C19" s="1">
        <v>46023</v>
      </c>
      <c r="D19" t="s">
        <v>323</v>
      </c>
      <c r="E19">
        <v>4.84</v>
      </c>
    </row>
    <row r="20" spans="1:5" hidden="1" x14ac:dyDescent="0.3">
      <c r="A20" t="s">
        <v>5</v>
      </c>
      <c r="B20" t="s">
        <v>6</v>
      </c>
      <c r="C20" s="1">
        <v>45931</v>
      </c>
      <c r="D20" t="s">
        <v>322</v>
      </c>
      <c r="E20">
        <v>1.99</v>
      </c>
    </row>
    <row r="21" spans="1:5" hidden="1" x14ac:dyDescent="0.3">
      <c r="A21" t="s">
        <v>327</v>
      </c>
      <c r="B21" t="s">
        <v>328</v>
      </c>
      <c r="C21" s="1">
        <v>45931</v>
      </c>
      <c r="D21" t="s">
        <v>322</v>
      </c>
      <c r="E21">
        <v>3.3</v>
      </c>
    </row>
    <row r="22" spans="1:5" x14ac:dyDescent="0.3">
      <c r="A22" t="s">
        <v>329</v>
      </c>
      <c r="B22" t="s">
        <v>330</v>
      </c>
      <c r="C22" s="1">
        <v>45931</v>
      </c>
      <c r="D22" t="s">
        <v>322</v>
      </c>
      <c r="E22">
        <v>-16.190000000000001</v>
      </c>
    </row>
    <row r="23" spans="1:5" hidden="1" x14ac:dyDescent="0.3">
      <c r="A23" t="s">
        <v>331</v>
      </c>
      <c r="B23" t="s">
        <v>332</v>
      </c>
      <c r="C23" s="1">
        <v>45931</v>
      </c>
      <c r="D23" t="s">
        <v>322</v>
      </c>
      <c r="E23">
        <v>2.95</v>
      </c>
    </row>
    <row r="24" spans="1:5" hidden="1" x14ac:dyDescent="0.3">
      <c r="A24" t="s">
        <v>333</v>
      </c>
      <c r="B24" t="s">
        <v>334</v>
      </c>
      <c r="C24" s="1">
        <v>45931</v>
      </c>
      <c r="D24" t="s">
        <v>322</v>
      </c>
      <c r="E24">
        <v>-29.74</v>
      </c>
    </row>
    <row r="25" spans="1:5" hidden="1" x14ac:dyDescent="0.3">
      <c r="A25" t="s">
        <v>335</v>
      </c>
      <c r="B25" t="s">
        <v>336</v>
      </c>
      <c r="C25" s="1">
        <v>45931</v>
      </c>
      <c r="D25" t="s">
        <v>322</v>
      </c>
      <c r="E25">
        <v>-27.18</v>
      </c>
    </row>
    <row r="26" spans="1:5" hidden="1" x14ac:dyDescent="0.3">
      <c r="A26" t="s">
        <v>337</v>
      </c>
      <c r="B26" t="s">
        <v>338</v>
      </c>
      <c r="C26" s="1">
        <v>45931</v>
      </c>
      <c r="D26" t="s">
        <v>322</v>
      </c>
      <c r="E26">
        <v>0.2</v>
      </c>
    </row>
    <row r="27" spans="1:5" hidden="1" x14ac:dyDescent="0.3">
      <c r="A27" t="s">
        <v>5</v>
      </c>
      <c r="B27" t="s">
        <v>6</v>
      </c>
      <c r="C27" s="1">
        <v>45839</v>
      </c>
      <c r="D27" t="s">
        <v>321</v>
      </c>
      <c r="E27">
        <v>2.34</v>
      </c>
    </row>
    <row r="28" spans="1:5" hidden="1" x14ac:dyDescent="0.3">
      <c r="A28" t="s">
        <v>325</v>
      </c>
      <c r="B28" t="s">
        <v>326</v>
      </c>
      <c r="C28" s="1">
        <v>45839</v>
      </c>
      <c r="D28" t="s">
        <v>321</v>
      </c>
      <c r="E28">
        <v>3.06</v>
      </c>
    </row>
    <row r="29" spans="1:5" hidden="1" x14ac:dyDescent="0.3">
      <c r="A29" t="s">
        <v>327</v>
      </c>
      <c r="B29" t="s">
        <v>328</v>
      </c>
      <c r="C29" s="1">
        <v>45839</v>
      </c>
      <c r="D29" t="s">
        <v>321</v>
      </c>
      <c r="E29">
        <v>2.9</v>
      </c>
    </row>
    <row r="30" spans="1:5" x14ac:dyDescent="0.3">
      <c r="A30" t="s">
        <v>329</v>
      </c>
      <c r="B30" t="s">
        <v>330</v>
      </c>
      <c r="C30" s="1">
        <v>45839</v>
      </c>
      <c r="D30" t="s">
        <v>321</v>
      </c>
      <c r="E30">
        <v>-18.43</v>
      </c>
    </row>
    <row r="31" spans="1:5" hidden="1" x14ac:dyDescent="0.3">
      <c r="A31" t="s">
        <v>331</v>
      </c>
      <c r="B31" t="s">
        <v>332</v>
      </c>
      <c r="C31" s="1">
        <v>45839</v>
      </c>
      <c r="D31" t="s">
        <v>321</v>
      </c>
      <c r="E31">
        <v>4.34</v>
      </c>
    </row>
    <row r="32" spans="1:5" hidden="1" x14ac:dyDescent="0.3">
      <c r="A32" t="s">
        <v>333</v>
      </c>
      <c r="B32" t="s">
        <v>334</v>
      </c>
      <c r="C32" s="1">
        <v>45839</v>
      </c>
      <c r="D32" t="s">
        <v>321</v>
      </c>
      <c r="E32">
        <v>-16.14</v>
      </c>
    </row>
    <row r="33" spans="1:5" hidden="1" x14ac:dyDescent="0.3">
      <c r="A33" t="s">
        <v>335</v>
      </c>
      <c r="B33" t="s">
        <v>336</v>
      </c>
      <c r="C33" s="1">
        <v>45839</v>
      </c>
      <c r="D33" t="s">
        <v>321</v>
      </c>
      <c r="E33">
        <v>-14.38</v>
      </c>
    </row>
    <row r="34" spans="1:5" hidden="1" x14ac:dyDescent="0.3">
      <c r="A34" t="s">
        <v>337</v>
      </c>
      <c r="B34" t="s">
        <v>338</v>
      </c>
      <c r="C34" s="1">
        <v>45839</v>
      </c>
      <c r="D34" t="s">
        <v>321</v>
      </c>
      <c r="E34">
        <v>0.45</v>
      </c>
    </row>
    <row r="35" spans="1:5" hidden="1" x14ac:dyDescent="0.3">
      <c r="A35" t="s">
        <v>371</v>
      </c>
      <c r="B35" t="s">
        <v>372</v>
      </c>
      <c r="C35" s="1">
        <v>45839</v>
      </c>
      <c r="D35" t="s">
        <v>321</v>
      </c>
      <c r="E35">
        <v>3.98</v>
      </c>
    </row>
    <row r="36" spans="1:5" hidden="1" x14ac:dyDescent="0.3">
      <c r="A36" t="s">
        <v>5</v>
      </c>
      <c r="B36" t="s">
        <v>6</v>
      </c>
      <c r="C36" s="1">
        <v>45748</v>
      </c>
      <c r="D36" t="s">
        <v>320</v>
      </c>
      <c r="E36">
        <v>2.08</v>
      </c>
    </row>
    <row r="37" spans="1:5" hidden="1" x14ac:dyDescent="0.3">
      <c r="A37" t="s">
        <v>325</v>
      </c>
      <c r="B37" t="s">
        <v>326</v>
      </c>
      <c r="C37" s="1">
        <v>45748</v>
      </c>
      <c r="D37" t="s">
        <v>320</v>
      </c>
      <c r="E37">
        <v>2.82</v>
      </c>
    </row>
    <row r="38" spans="1:5" hidden="1" x14ac:dyDescent="0.3">
      <c r="A38" t="s">
        <v>327</v>
      </c>
      <c r="B38" t="s">
        <v>328</v>
      </c>
      <c r="C38" s="1">
        <v>45748</v>
      </c>
      <c r="D38" t="s">
        <v>320</v>
      </c>
      <c r="E38">
        <v>2.58</v>
      </c>
    </row>
    <row r="39" spans="1:5" x14ac:dyDescent="0.3">
      <c r="A39" t="s">
        <v>329</v>
      </c>
      <c r="B39" t="s">
        <v>330</v>
      </c>
      <c r="C39" s="1">
        <v>45748</v>
      </c>
      <c r="D39" t="s">
        <v>320</v>
      </c>
      <c r="E39">
        <v>-18.760000000000002</v>
      </c>
    </row>
    <row r="40" spans="1:5" hidden="1" x14ac:dyDescent="0.3">
      <c r="A40" t="s">
        <v>331</v>
      </c>
      <c r="B40" t="s">
        <v>332</v>
      </c>
      <c r="C40" s="1">
        <v>45748</v>
      </c>
      <c r="D40" t="s">
        <v>320</v>
      </c>
      <c r="E40">
        <v>4.03</v>
      </c>
    </row>
    <row r="41" spans="1:5" hidden="1" x14ac:dyDescent="0.3">
      <c r="A41" t="s">
        <v>333</v>
      </c>
      <c r="B41" t="s">
        <v>334</v>
      </c>
      <c r="C41" s="1">
        <v>45748</v>
      </c>
      <c r="D41" t="s">
        <v>320</v>
      </c>
      <c r="E41">
        <v>-12.58</v>
      </c>
    </row>
    <row r="42" spans="1:5" hidden="1" x14ac:dyDescent="0.3">
      <c r="A42" t="s">
        <v>335</v>
      </c>
      <c r="B42" t="s">
        <v>336</v>
      </c>
      <c r="C42" s="1">
        <v>45748</v>
      </c>
      <c r="D42" t="s">
        <v>320</v>
      </c>
      <c r="E42">
        <v>-23.03</v>
      </c>
    </row>
    <row r="43" spans="1:5" hidden="1" x14ac:dyDescent="0.3">
      <c r="A43" t="s">
        <v>337</v>
      </c>
      <c r="B43" t="s">
        <v>338</v>
      </c>
      <c r="C43" s="1">
        <v>45748</v>
      </c>
      <c r="D43" t="s">
        <v>320</v>
      </c>
      <c r="E43">
        <v>0.56000000000000005</v>
      </c>
    </row>
    <row r="44" spans="1:5" hidden="1" x14ac:dyDescent="0.3">
      <c r="A44" t="s">
        <v>371</v>
      </c>
      <c r="B44" t="s">
        <v>372</v>
      </c>
      <c r="C44" s="1">
        <v>45748</v>
      </c>
      <c r="D44" t="s">
        <v>320</v>
      </c>
      <c r="E44">
        <v>5.87</v>
      </c>
    </row>
    <row r="45" spans="1:5" hidden="1" x14ac:dyDescent="0.3">
      <c r="A45" t="s">
        <v>5</v>
      </c>
      <c r="B45" t="s">
        <v>6</v>
      </c>
      <c r="C45" s="1">
        <v>45658</v>
      </c>
      <c r="D45" t="s">
        <v>319</v>
      </c>
      <c r="E45">
        <v>2.02</v>
      </c>
    </row>
    <row r="46" spans="1:5" hidden="1" x14ac:dyDescent="0.3">
      <c r="A46" t="s">
        <v>325</v>
      </c>
      <c r="B46" t="s">
        <v>326</v>
      </c>
      <c r="C46" s="1">
        <v>45658</v>
      </c>
      <c r="D46" t="s">
        <v>319</v>
      </c>
      <c r="E46">
        <v>3.08</v>
      </c>
    </row>
    <row r="47" spans="1:5" hidden="1" x14ac:dyDescent="0.3">
      <c r="A47" t="s">
        <v>327</v>
      </c>
      <c r="B47" t="s">
        <v>328</v>
      </c>
      <c r="C47" s="1">
        <v>45658</v>
      </c>
      <c r="D47" t="s">
        <v>319</v>
      </c>
      <c r="E47">
        <v>2.33</v>
      </c>
    </row>
    <row r="48" spans="1:5" x14ac:dyDescent="0.3">
      <c r="A48" t="s">
        <v>329</v>
      </c>
      <c r="B48" t="s">
        <v>330</v>
      </c>
      <c r="C48" s="1">
        <v>45658</v>
      </c>
      <c r="D48" t="s">
        <v>319</v>
      </c>
      <c r="E48">
        <v>-18.760000000000002</v>
      </c>
    </row>
    <row r="49" spans="1:5" hidden="1" x14ac:dyDescent="0.3">
      <c r="A49" t="s">
        <v>331</v>
      </c>
      <c r="B49" t="s">
        <v>332</v>
      </c>
      <c r="C49" s="1">
        <v>45658</v>
      </c>
      <c r="D49" t="s">
        <v>319</v>
      </c>
      <c r="E49">
        <v>4.5199999999999996</v>
      </c>
    </row>
    <row r="50" spans="1:5" hidden="1" x14ac:dyDescent="0.3">
      <c r="A50" t="s">
        <v>333</v>
      </c>
      <c r="B50" t="s">
        <v>334</v>
      </c>
      <c r="C50" s="1">
        <v>45658</v>
      </c>
      <c r="D50" t="s">
        <v>319</v>
      </c>
      <c r="E50">
        <v>98.18</v>
      </c>
    </row>
    <row r="51" spans="1:5" hidden="1" x14ac:dyDescent="0.3">
      <c r="A51" t="s">
        <v>335</v>
      </c>
      <c r="B51" t="s">
        <v>336</v>
      </c>
      <c r="C51" s="1">
        <v>45658</v>
      </c>
      <c r="D51" t="s">
        <v>319</v>
      </c>
      <c r="E51">
        <v>-17.809999999999999</v>
      </c>
    </row>
    <row r="52" spans="1:5" hidden="1" x14ac:dyDescent="0.3">
      <c r="A52" t="s">
        <v>337</v>
      </c>
      <c r="B52" t="s">
        <v>338</v>
      </c>
      <c r="C52" s="1">
        <v>45658</v>
      </c>
      <c r="D52" t="s">
        <v>319</v>
      </c>
      <c r="E52">
        <v>0.68</v>
      </c>
    </row>
    <row r="53" spans="1:5" hidden="1" x14ac:dyDescent="0.3">
      <c r="A53" t="s">
        <v>371</v>
      </c>
      <c r="B53" t="s">
        <v>372</v>
      </c>
      <c r="C53" s="1">
        <v>45658</v>
      </c>
      <c r="D53" t="s">
        <v>319</v>
      </c>
      <c r="E53">
        <v>7.83</v>
      </c>
    </row>
    <row r="54" spans="1:5" hidden="1" x14ac:dyDescent="0.3">
      <c r="A54" t="s">
        <v>5</v>
      </c>
      <c r="B54" t="s">
        <v>6</v>
      </c>
      <c r="C54" s="1">
        <v>45566</v>
      </c>
      <c r="D54" t="s">
        <v>318</v>
      </c>
      <c r="E54">
        <v>2.4</v>
      </c>
    </row>
    <row r="55" spans="1:5" hidden="1" x14ac:dyDescent="0.3">
      <c r="A55" t="s">
        <v>325</v>
      </c>
      <c r="B55" t="s">
        <v>326</v>
      </c>
      <c r="C55" s="1">
        <v>45566</v>
      </c>
      <c r="D55" t="s">
        <v>318</v>
      </c>
      <c r="E55">
        <v>3.27</v>
      </c>
    </row>
    <row r="56" spans="1:5" hidden="1" x14ac:dyDescent="0.3">
      <c r="A56" t="s">
        <v>327</v>
      </c>
      <c r="B56" t="s">
        <v>328</v>
      </c>
      <c r="C56" s="1">
        <v>45566</v>
      </c>
      <c r="D56" t="s">
        <v>318</v>
      </c>
      <c r="E56">
        <v>2.5099999999999998</v>
      </c>
    </row>
    <row r="57" spans="1:5" x14ac:dyDescent="0.3">
      <c r="A57" t="s">
        <v>329</v>
      </c>
      <c r="B57" t="s">
        <v>330</v>
      </c>
      <c r="C57" s="1">
        <v>45566</v>
      </c>
      <c r="D57" t="s">
        <v>318</v>
      </c>
      <c r="E57">
        <v>-12.76</v>
      </c>
    </row>
    <row r="58" spans="1:5" hidden="1" x14ac:dyDescent="0.3">
      <c r="A58" t="s">
        <v>331</v>
      </c>
      <c r="B58" t="s">
        <v>332</v>
      </c>
      <c r="C58" s="1">
        <v>45566</v>
      </c>
      <c r="D58" t="s">
        <v>318</v>
      </c>
      <c r="E58">
        <v>3.87</v>
      </c>
    </row>
    <row r="59" spans="1:5" hidden="1" x14ac:dyDescent="0.3">
      <c r="A59" t="s">
        <v>333</v>
      </c>
      <c r="B59" t="s">
        <v>334</v>
      </c>
      <c r="C59" s="1">
        <v>45566</v>
      </c>
      <c r="D59" t="s">
        <v>318</v>
      </c>
      <c r="E59">
        <v>33.049999999999997</v>
      </c>
    </row>
    <row r="60" spans="1:5" hidden="1" x14ac:dyDescent="0.3">
      <c r="A60" t="s">
        <v>335</v>
      </c>
      <c r="B60" t="s">
        <v>336</v>
      </c>
      <c r="C60" s="1">
        <v>45566</v>
      </c>
      <c r="D60" t="s">
        <v>318</v>
      </c>
      <c r="E60">
        <v>11.04</v>
      </c>
    </row>
    <row r="61" spans="1:5" hidden="1" x14ac:dyDescent="0.3">
      <c r="A61" t="s">
        <v>337</v>
      </c>
      <c r="B61" t="s">
        <v>338</v>
      </c>
      <c r="C61" s="1">
        <v>45566</v>
      </c>
      <c r="D61" t="s">
        <v>318</v>
      </c>
      <c r="E61">
        <v>0.89</v>
      </c>
    </row>
    <row r="62" spans="1:5" hidden="1" x14ac:dyDescent="0.3">
      <c r="A62" t="s">
        <v>371</v>
      </c>
      <c r="B62" t="s">
        <v>372</v>
      </c>
      <c r="C62" s="1">
        <v>45566</v>
      </c>
      <c r="D62" t="s">
        <v>318</v>
      </c>
      <c r="E62">
        <v>8.76</v>
      </c>
    </row>
    <row r="63" spans="1:5" hidden="1" x14ac:dyDescent="0.3">
      <c r="A63" t="s">
        <v>5</v>
      </c>
      <c r="B63" t="s">
        <v>6</v>
      </c>
      <c r="C63" s="1">
        <v>45474</v>
      </c>
      <c r="D63" t="s">
        <v>317</v>
      </c>
      <c r="E63">
        <v>2.79</v>
      </c>
    </row>
    <row r="64" spans="1:5" hidden="1" x14ac:dyDescent="0.3">
      <c r="A64" t="s">
        <v>325</v>
      </c>
      <c r="B64" t="s">
        <v>326</v>
      </c>
      <c r="C64" s="1">
        <v>45474</v>
      </c>
      <c r="D64" t="s">
        <v>317</v>
      </c>
      <c r="E64">
        <v>3.27</v>
      </c>
    </row>
    <row r="65" spans="1:5" hidden="1" x14ac:dyDescent="0.3">
      <c r="A65" t="s">
        <v>327</v>
      </c>
      <c r="B65" t="s">
        <v>328</v>
      </c>
      <c r="C65" s="1">
        <v>45474</v>
      </c>
      <c r="D65" t="s">
        <v>317</v>
      </c>
      <c r="E65">
        <v>2.34</v>
      </c>
    </row>
    <row r="66" spans="1:5" x14ac:dyDescent="0.3">
      <c r="A66" t="s">
        <v>329</v>
      </c>
      <c r="B66" t="s">
        <v>330</v>
      </c>
      <c r="C66" s="1">
        <v>45474</v>
      </c>
      <c r="D66" t="s">
        <v>317</v>
      </c>
      <c r="E66">
        <v>0.06</v>
      </c>
    </row>
    <row r="67" spans="1:5" hidden="1" x14ac:dyDescent="0.3">
      <c r="A67" t="s">
        <v>331</v>
      </c>
      <c r="B67" t="s">
        <v>332</v>
      </c>
      <c r="C67" s="1">
        <v>45474</v>
      </c>
      <c r="D67" t="s">
        <v>317</v>
      </c>
      <c r="E67">
        <v>2.2599999999999998</v>
      </c>
    </row>
    <row r="68" spans="1:5" hidden="1" x14ac:dyDescent="0.3">
      <c r="A68" t="s">
        <v>333</v>
      </c>
      <c r="B68" t="s">
        <v>334</v>
      </c>
      <c r="C68" s="1">
        <v>45474</v>
      </c>
      <c r="D68" t="s">
        <v>317</v>
      </c>
      <c r="E68">
        <v>29.14</v>
      </c>
    </row>
    <row r="69" spans="1:5" hidden="1" x14ac:dyDescent="0.3">
      <c r="A69" t="s">
        <v>335</v>
      </c>
      <c r="B69" t="s">
        <v>336</v>
      </c>
      <c r="C69" s="1">
        <v>45474</v>
      </c>
      <c r="D69" t="s">
        <v>317</v>
      </c>
      <c r="E69">
        <v>-2.06</v>
      </c>
    </row>
    <row r="70" spans="1:5" hidden="1" x14ac:dyDescent="0.3">
      <c r="A70" t="s">
        <v>337</v>
      </c>
      <c r="B70" t="s">
        <v>338</v>
      </c>
      <c r="C70" s="1">
        <v>45474</v>
      </c>
      <c r="D70" t="s">
        <v>317</v>
      </c>
      <c r="E70">
        <v>1</v>
      </c>
    </row>
    <row r="71" spans="1:5" hidden="1" x14ac:dyDescent="0.3">
      <c r="A71" t="s">
        <v>371</v>
      </c>
      <c r="B71" t="s">
        <v>372</v>
      </c>
      <c r="C71" s="1">
        <v>45474</v>
      </c>
      <c r="D71" t="s">
        <v>317</v>
      </c>
      <c r="E71">
        <v>14.7</v>
      </c>
    </row>
    <row r="72" spans="1:5" hidden="1" x14ac:dyDescent="0.3">
      <c r="A72" t="s">
        <v>5</v>
      </c>
      <c r="B72" t="s">
        <v>6</v>
      </c>
      <c r="C72" s="1">
        <v>45383</v>
      </c>
      <c r="D72" t="s">
        <v>316</v>
      </c>
      <c r="E72">
        <v>3.13</v>
      </c>
    </row>
    <row r="73" spans="1:5" hidden="1" x14ac:dyDescent="0.3">
      <c r="A73" t="s">
        <v>325</v>
      </c>
      <c r="B73" t="s">
        <v>326</v>
      </c>
      <c r="C73" s="1">
        <v>45383</v>
      </c>
      <c r="D73" t="s">
        <v>316</v>
      </c>
      <c r="E73">
        <v>3.43</v>
      </c>
    </row>
    <row r="74" spans="1:5" hidden="1" x14ac:dyDescent="0.3">
      <c r="A74" t="s">
        <v>327</v>
      </c>
      <c r="B74" t="s">
        <v>328</v>
      </c>
      <c r="C74" s="1">
        <v>45383</v>
      </c>
      <c r="D74" t="s">
        <v>316</v>
      </c>
      <c r="E74">
        <v>2.2799999999999998</v>
      </c>
    </row>
    <row r="75" spans="1:5" x14ac:dyDescent="0.3">
      <c r="A75" t="s">
        <v>329</v>
      </c>
      <c r="B75" t="s">
        <v>330</v>
      </c>
      <c r="C75" s="1">
        <v>45383</v>
      </c>
      <c r="D75" t="s">
        <v>316</v>
      </c>
      <c r="E75">
        <v>6.81</v>
      </c>
    </row>
    <row r="76" spans="1:5" hidden="1" x14ac:dyDescent="0.3">
      <c r="A76" t="s">
        <v>331</v>
      </c>
      <c r="B76" t="s">
        <v>332</v>
      </c>
      <c r="C76" s="1">
        <v>45383</v>
      </c>
      <c r="D76" t="s">
        <v>316</v>
      </c>
      <c r="E76">
        <v>2.54</v>
      </c>
    </row>
    <row r="77" spans="1:5" hidden="1" x14ac:dyDescent="0.3">
      <c r="A77" t="s">
        <v>333</v>
      </c>
      <c r="B77" t="s">
        <v>334</v>
      </c>
      <c r="C77" s="1">
        <v>45383</v>
      </c>
      <c r="D77" t="s">
        <v>316</v>
      </c>
      <c r="E77">
        <v>9.32</v>
      </c>
    </row>
    <row r="78" spans="1:5" hidden="1" x14ac:dyDescent="0.3">
      <c r="A78" t="s">
        <v>335</v>
      </c>
      <c r="B78" t="s">
        <v>336</v>
      </c>
      <c r="C78" s="1">
        <v>45383</v>
      </c>
      <c r="D78" t="s">
        <v>316</v>
      </c>
      <c r="E78">
        <v>14.77</v>
      </c>
    </row>
    <row r="79" spans="1:5" hidden="1" x14ac:dyDescent="0.3">
      <c r="A79" t="s">
        <v>337</v>
      </c>
      <c r="B79" t="s">
        <v>338</v>
      </c>
      <c r="C79" s="1">
        <v>45383</v>
      </c>
      <c r="D79" t="s">
        <v>316</v>
      </c>
      <c r="E79">
        <v>1.27</v>
      </c>
    </row>
    <row r="80" spans="1:5" hidden="1" x14ac:dyDescent="0.3">
      <c r="A80" t="s">
        <v>371</v>
      </c>
      <c r="B80" t="s">
        <v>372</v>
      </c>
      <c r="C80" s="1">
        <v>45383</v>
      </c>
      <c r="D80" t="s">
        <v>316</v>
      </c>
      <c r="E80">
        <v>12.28</v>
      </c>
    </row>
    <row r="81" spans="1:5" hidden="1" x14ac:dyDescent="0.3">
      <c r="A81" t="s">
        <v>5</v>
      </c>
      <c r="B81" t="s">
        <v>6</v>
      </c>
      <c r="C81" s="1">
        <v>45292</v>
      </c>
      <c r="D81" t="s">
        <v>315</v>
      </c>
      <c r="E81">
        <v>2.86</v>
      </c>
    </row>
    <row r="82" spans="1:5" hidden="1" x14ac:dyDescent="0.3">
      <c r="A82" t="s">
        <v>325</v>
      </c>
      <c r="B82" t="s">
        <v>326</v>
      </c>
      <c r="C82" s="1">
        <v>45292</v>
      </c>
      <c r="D82" t="s">
        <v>315</v>
      </c>
      <c r="E82">
        <v>3.81</v>
      </c>
    </row>
    <row r="83" spans="1:5" hidden="1" x14ac:dyDescent="0.3">
      <c r="A83" t="s">
        <v>327</v>
      </c>
      <c r="B83" t="s">
        <v>328</v>
      </c>
      <c r="C83" s="1">
        <v>45292</v>
      </c>
      <c r="D83" t="s">
        <v>315</v>
      </c>
      <c r="E83">
        <v>2.2999999999999998</v>
      </c>
    </row>
    <row r="84" spans="1:5" x14ac:dyDescent="0.3">
      <c r="A84" t="s">
        <v>329</v>
      </c>
      <c r="B84" t="s">
        <v>330</v>
      </c>
      <c r="C84" s="1">
        <v>45292</v>
      </c>
      <c r="D84" t="s">
        <v>315</v>
      </c>
      <c r="E84">
        <v>18</v>
      </c>
    </row>
    <row r="85" spans="1:5" hidden="1" x14ac:dyDescent="0.3">
      <c r="A85" t="s">
        <v>331</v>
      </c>
      <c r="B85" t="s">
        <v>332</v>
      </c>
      <c r="C85" s="1">
        <v>45292</v>
      </c>
      <c r="D85" t="s">
        <v>315</v>
      </c>
      <c r="E85">
        <v>1.78</v>
      </c>
    </row>
    <row r="86" spans="1:5" hidden="1" x14ac:dyDescent="0.3">
      <c r="A86" t="s">
        <v>333</v>
      </c>
      <c r="B86" t="s">
        <v>334</v>
      </c>
      <c r="C86" s="1">
        <v>45292</v>
      </c>
      <c r="D86" t="s">
        <v>315</v>
      </c>
      <c r="E86">
        <v>1.52</v>
      </c>
    </row>
    <row r="87" spans="1:5" hidden="1" x14ac:dyDescent="0.3">
      <c r="A87" t="s">
        <v>335</v>
      </c>
      <c r="B87" t="s">
        <v>336</v>
      </c>
      <c r="C87" s="1">
        <v>45292</v>
      </c>
      <c r="D87" t="s">
        <v>315</v>
      </c>
      <c r="E87">
        <v>21.41</v>
      </c>
    </row>
    <row r="88" spans="1:5" hidden="1" x14ac:dyDescent="0.3">
      <c r="A88" t="s">
        <v>337</v>
      </c>
      <c r="B88" t="s">
        <v>338</v>
      </c>
      <c r="C88" s="1">
        <v>45292</v>
      </c>
      <c r="D88" t="s">
        <v>315</v>
      </c>
      <c r="E88">
        <v>1.45</v>
      </c>
    </row>
    <row r="89" spans="1:5" hidden="1" x14ac:dyDescent="0.3">
      <c r="A89" t="s">
        <v>371</v>
      </c>
      <c r="B89" t="s">
        <v>372</v>
      </c>
      <c r="C89" s="1">
        <v>45292</v>
      </c>
      <c r="D89" t="s">
        <v>315</v>
      </c>
      <c r="E89">
        <v>8.49</v>
      </c>
    </row>
    <row r="90" spans="1:5" hidden="1" x14ac:dyDescent="0.3">
      <c r="A90" t="s">
        <v>5</v>
      </c>
      <c r="B90" t="s">
        <v>6</v>
      </c>
      <c r="C90" s="1">
        <v>45200</v>
      </c>
      <c r="D90" t="s">
        <v>314</v>
      </c>
      <c r="E90">
        <v>3.39</v>
      </c>
    </row>
    <row r="91" spans="1:5" hidden="1" x14ac:dyDescent="0.3">
      <c r="A91" t="s">
        <v>325</v>
      </c>
      <c r="B91" t="s">
        <v>326</v>
      </c>
      <c r="C91" s="1">
        <v>45200</v>
      </c>
      <c r="D91" t="s">
        <v>314</v>
      </c>
      <c r="E91">
        <v>3.99</v>
      </c>
    </row>
    <row r="92" spans="1:5" hidden="1" x14ac:dyDescent="0.3">
      <c r="A92" t="s">
        <v>327</v>
      </c>
      <c r="B92" t="s">
        <v>328</v>
      </c>
      <c r="C92" s="1">
        <v>45200</v>
      </c>
      <c r="D92" t="s">
        <v>314</v>
      </c>
      <c r="E92">
        <v>2.9</v>
      </c>
    </row>
    <row r="93" spans="1:5" x14ac:dyDescent="0.3">
      <c r="A93" t="s">
        <v>329</v>
      </c>
      <c r="B93" t="s">
        <v>330</v>
      </c>
      <c r="C93" s="1">
        <v>45200</v>
      </c>
      <c r="D93" t="s">
        <v>314</v>
      </c>
      <c r="E93">
        <v>45.91</v>
      </c>
    </row>
    <row r="94" spans="1:5" hidden="1" x14ac:dyDescent="0.3">
      <c r="A94" t="s">
        <v>331</v>
      </c>
      <c r="B94" t="s">
        <v>332</v>
      </c>
      <c r="C94" s="1">
        <v>45200</v>
      </c>
      <c r="D94" t="s">
        <v>314</v>
      </c>
      <c r="E94">
        <v>3.93</v>
      </c>
    </row>
    <row r="95" spans="1:5" hidden="1" x14ac:dyDescent="0.3">
      <c r="A95" t="s">
        <v>333</v>
      </c>
      <c r="B95" t="s">
        <v>334</v>
      </c>
      <c r="C95" s="1">
        <v>45200</v>
      </c>
      <c r="D95" t="s">
        <v>314</v>
      </c>
      <c r="E95">
        <v>-7.9</v>
      </c>
    </row>
    <row r="96" spans="1:5" hidden="1" x14ac:dyDescent="0.3">
      <c r="A96" t="s">
        <v>335</v>
      </c>
      <c r="B96" t="s">
        <v>336</v>
      </c>
      <c r="C96" s="1">
        <v>45200</v>
      </c>
      <c r="D96" t="s">
        <v>314</v>
      </c>
      <c r="E96">
        <v>10.43</v>
      </c>
    </row>
    <row r="97" spans="1:5" hidden="1" x14ac:dyDescent="0.3">
      <c r="A97" t="s">
        <v>337</v>
      </c>
      <c r="B97" t="s">
        <v>338</v>
      </c>
      <c r="C97" s="1">
        <v>45200</v>
      </c>
      <c r="D97" t="s">
        <v>314</v>
      </c>
      <c r="E97">
        <v>1.65</v>
      </c>
    </row>
    <row r="98" spans="1:5" hidden="1" x14ac:dyDescent="0.3">
      <c r="A98" t="s">
        <v>371</v>
      </c>
      <c r="B98" t="s">
        <v>372</v>
      </c>
      <c r="C98" s="1">
        <v>45200</v>
      </c>
      <c r="D98" t="s">
        <v>314</v>
      </c>
      <c r="E98">
        <v>6.53</v>
      </c>
    </row>
    <row r="99" spans="1:5" hidden="1" x14ac:dyDescent="0.3">
      <c r="A99" t="s">
        <v>5</v>
      </c>
      <c r="B99" t="s">
        <v>6</v>
      </c>
      <c r="C99" s="1">
        <v>45108</v>
      </c>
      <c r="D99" t="s">
        <v>313</v>
      </c>
      <c r="E99">
        <v>3.23</v>
      </c>
    </row>
    <row r="100" spans="1:5" hidden="1" x14ac:dyDescent="0.3">
      <c r="A100" t="s">
        <v>325</v>
      </c>
      <c r="B100" t="s">
        <v>326</v>
      </c>
      <c r="C100" s="1">
        <v>45108</v>
      </c>
      <c r="D100" t="s">
        <v>313</v>
      </c>
      <c r="E100">
        <v>4.41</v>
      </c>
    </row>
    <row r="101" spans="1:5" hidden="1" x14ac:dyDescent="0.3">
      <c r="A101" t="s">
        <v>327</v>
      </c>
      <c r="B101" t="s">
        <v>328</v>
      </c>
      <c r="C101" s="1">
        <v>45108</v>
      </c>
      <c r="D101" t="s">
        <v>313</v>
      </c>
      <c r="E101">
        <v>3.62</v>
      </c>
    </row>
    <row r="102" spans="1:5" x14ac:dyDescent="0.3">
      <c r="A102" t="s">
        <v>329</v>
      </c>
      <c r="B102" t="s">
        <v>330</v>
      </c>
      <c r="C102" s="1">
        <v>45108</v>
      </c>
      <c r="D102" t="s">
        <v>313</v>
      </c>
      <c r="E102">
        <v>140.18</v>
      </c>
    </row>
    <row r="103" spans="1:5" hidden="1" x14ac:dyDescent="0.3">
      <c r="A103" t="s">
        <v>331</v>
      </c>
      <c r="B103" t="s">
        <v>332</v>
      </c>
      <c r="C103" s="1">
        <v>45108</v>
      </c>
      <c r="D103" t="s">
        <v>313</v>
      </c>
      <c r="E103">
        <v>3.41</v>
      </c>
    </row>
    <row r="104" spans="1:5" hidden="1" x14ac:dyDescent="0.3">
      <c r="A104" t="s">
        <v>333</v>
      </c>
      <c r="B104" t="s">
        <v>334</v>
      </c>
      <c r="C104" s="1">
        <v>45108</v>
      </c>
      <c r="D104" t="s">
        <v>313</v>
      </c>
      <c r="E104">
        <v>-10.050000000000001</v>
      </c>
    </row>
    <row r="105" spans="1:5" hidden="1" x14ac:dyDescent="0.3">
      <c r="A105" t="s">
        <v>335</v>
      </c>
      <c r="B105" t="s">
        <v>336</v>
      </c>
      <c r="C105" s="1">
        <v>45108</v>
      </c>
      <c r="D105" t="s">
        <v>313</v>
      </c>
      <c r="E105">
        <v>24.01</v>
      </c>
    </row>
    <row r="106" spans="1:5" hidden="1" x14ac:dyDescent="0.3">
      <c r="A106" t="s">
        <v>337</v>
      </c>
      <c r="B106" t="s">
        <v>338</v>
      </c>
      <c r="C106" s="1">
        <v>45108</v>
      </c>
      <c r="D106" t="s">
        <v>313</v>
      </c>
      <c r="E106">
        <v>1.89</v>
      </c>
    </row>
    <row r="107" spans="1:5" hidden="1" x14ac:dyDescent="0.3">
      <c r="A107" t="s">
        <v>371</v>
      </c>
      <c r="B107" t="s">
        <v>372</v>
      </c>
      <c r="C107" s="1">
        <v>45108</v>
      </c>
      <c r="D107" t="s">
        <v>313</v>
      </c>
      <c r="E107">
        <v>2.83</v>
      </c>
    </row>
    <row r="108" spans="1:5" hidden="1" x14ac:dyDescent="0.3">
      <c r="A108" t="s">
        <v>5</v>
      </c>
      <c r="B108" t="s">
        <v>6</v>
      </c>
      <c r="C108" s="1">
        <v>45017</v>
      </c>
      <c r="D108" t="s">
        <v>312</v>
      </c>
      <c r="E108">
        <v>2.79</v>
      </c>
    </row>
    <row r="109" spans="1:5" hidden="1" x14ac:dyDescent="0.3">
      <c r="A109" t="s">
        <v>325</v>
      </c>
      <c r="B109" t="s">
        <v>326</v>
      </c>
      <c r="C109" s="1">
        <v>45017</v>
      </c>
      <c r="D109" t="s">
        <v>312</v>
      </c>
      <c r="E109">
        <v>5.23</v>
      </c>
    </row>
    <row r="110" spans="1:5" hidden="1" x14ac:dyDescent="0.3">
      <c r="A110" t="s">
        <v>327</v>
      </c>
      <c r="B110" t="s">
        <v>328</v>
      </c>
      <c r="C110" s="1">
        <v>45017</v>
      </c>
      <c r="D110" t="s">
        <v>312</v>
      </c>
      <c r="E110">
        <v>4.8600000000000003</v>
      </c>
    </row>
    <row r="111" spans="1:5" x14ac:dyDescent="0.3">
      <c r="A111" t="s">
        <v>329</v>
      </c>
      <c r="B111" t="s">
        <v>330</v>
      </c>
      <c r="C111" s="1">
        <v>45017</v>
      </c>
      <c r="D111" t="s">
        <v>312</v>
      </c>
      <c r="E111">
        <v>548.04999999999995</v>
      </c>
    </row>
    <row r="112" spans="1:5" hidden="1" x14ac:dyDescent="0.3">
      <c r="A112" t="s">
        <v>331</v>
      </c>
      <c r="B112" t="s">
        <v>332</v>
      </c>
      <c r="C112" s="1">
        <v>45017</v>
      </c>
      <c r="D112" t="s">
        <v>312</v>
      </c>
      <c r="E112">
        <v>1.78</v>
      </c>
    </row>
    <row r="113" spans="1:5" hidden="1" x14ac:dyDescent="0.3">
      <c r="A113" t="s">
        <v>333</v>
      </c>
      <c r="B113" t="s">
        <v>334</v>
      </c>
      <c r="C113" s="1">
        <v>45017</v>
      </c>
      <c r="D113" t="s">
        <v>312</v>
      </c>
      <c r="E113">
        <v>-18.23</v>
      </c>
    </row>
    <row r="114" spans="1:5" hidden="1" x14ac:dyDescent="0.3">
      <c r="A114" t="s">
        <v>335</v>
      </c>
      <c r="B114" t="s">
        <v>336</v>
      </c>
      <c r="C114" s="1">
        <v>45017</v>
      </c>
      <c r="D114" t="s">
        <v>312</v>
      </c>
      <c r="E114">
        <v>7.66</v>
      </c>
    </row>
    <row r="115" spans="1:5" hidden="1" x14ac:dyDescent="0.3">
      <c r="A115" t="s">
        <v>337</v>
      </c>
      <c r="B115" t="s">
        <v>338</v>
      </c>
      <c r="C115" s="1">
        <v>45017</v>
      </c>
      <c r="D115" t="s">
        <v>312</v>
      </c>
      <c r="E115">
        <v>2.41</v>
      </c>
    </row>
    <row r="116" spans="1:5" hidden="1" x14ac:dyDescent="0.3">
      <c r="A116" t="s">
        <v>371</v>
      </c>
      <c r="B116" t="s">
        <v>372</v>
      </c>
      <c r="C116" s="1">
        <v>45017</v>
      </c>
      <c r="D116" t="s">
        <v>312</v>
      </c>
      <c r="E116">
        <v>-2.75</v>
      </c>
    </row>
    <row r="117" spans="1:5" hidden="1" x14ac:dyDescent="0.3">
      <c r="A117" t="s">
        <v>5</v>
      </c>
      <c r="B117" t="s">
        <v>6</v>
      </c>
      <c r="C117" s="1">
        <v>44927</v>
      </c>
      <c r="D117" t="s">
        <v>311</v>
      </c>
      <c r="E117">
        <v>2.31</v>
      </c>
    </row>
    <row r="118" spans="1:5" hidden="1" x14ac:dyDescent="0.3">
      <c r="A118" t="s">
        <v>325</v>
      </c>
      <c r="B118" t="s">
        <v>326</v>
      </c>
      <c r="C118" s="1">
        <v>44927</v>
      </c>
      <c r="D118" t="s">
        <v>311</v>
      </c>
      <c r="E118">
        <v>5.53</v>
      </c>
    </row>
    <row r="119" spans="1:5" hidden="1" x14ac:dyDescent="0.3">
      <c r="A119" t="s">
        <v>327</v>
      </c>
      <c r="B119" t="s">
        <v>328</v>
      </c>
      <c r="C119" s="1">
        <v>44927</v>
      </c>
      <c r="D119" t="s">
        <v>311</v>
      </c>
      <c r="E119">
        <v>6.87</v>
      </c>
    </row>
    <row r="120" spans="1:5" x14ac:dyDescent="0.3">
      <c r="A120" t="s">
        <v>329</v>
      </c>
      <c r="B120" t="s">
        <v>330</v>
      </c>
      <c r="C120" s="1">
        <v>44927</v>
      </c>
      <c r="D120" t="s">
        <v>311</v>
      </c>
      <c r="E120">
        <v>3664.17</v>
      </c>
    </row>
    <row r="121" spans="1:5" hidden="1" x14ac:dyDescent="0.3">
      <c r="A121" t="s">
        <v>331</v>
      </c>
      <c r="B121" t="s">
        <v>332</v>
      </c>
      <c r="C121" s="1">
        <v>44927</v>
      </c>
      <c r="D121" t="s">
        <v>311</v>
      </c>
      <c r="E121">
        <v>5.04</v>
      </c>
    </row>
    <row r="122" spans="1:5" hidden="1" x14ac:dyDescent="0.3">
      <c r="A122" t="s">
        <v>333</v>
      </c>
      <c r="B122" t="s">
        <v>334</v>
      </c>
      <c r="C122" s="1">
        <v>44927</v>
      </c>
      <c r="D122" t="s">
        <v>311</v>
      </c>
      <c r="E122">
        <v>-28.34</v>
      </c>
    </row>
    <row r="123" spans="1:5" hidden="1" x14ac:dyDescent="0.3">
      <c r="A123" t="s">
        <v>335</v>
      </c>
      <c r="B123" t="s">
        <v>336</v>
      </c>
      <c r="C123" s="1">
        <v>44927</v>
      </c>
      <c r="D123" t="s">
        <v>311</v>
      </c>
      <c r="E123">
        <v>2.3199999999999998</v>
      </c>
    </row>
    <row r="124" spans="1:5" hidden="1" x14ac:dyDescent="0.3">
      <c r="A124" t="s">
        <v>337</v>
      </c>
      <c r="B124" t="s">
        <v>338</v>
      </c>
      <c r="C124" s="1">
        <v>44927</v>
      </c>
      <c r="D124" t="s">
        <v>311</v>
      </c>
      <c r="E124">
        <v>2.84</v>
      </c>
    </row>
    <row r="125" spans="1:5" hidden="1" x14ac:dyDescent="0.3">
      <c r="A125" t="s">
        <v>371</v>
      </c>
      <c r="B125" t="s">
        <v>372</v>
      </c>
      <c r="C125" s="1">
        <v>44927</v>
      </c>
      <c r="D125" t="s">
        <v>311</v>
      </c>
      <c r="E125">
        <v>-8.64</v>
      </c>
    </row>
    <row r="126" spans="1:5" hidden="1" x14ac:dyDescent="0.3">
      <c r="A126" t="s">
        <v>5</v>
      </c>
      <c r="B126" t="s">
        <v>6</v>
      </c>
      <c r="C126" s="1">
        <v>44835</v>
      </c>
      <c r="D126" t="s">
        <v>310</v>
      </c>
      <c r="E126">
        <v>1.32</v>
      </c>
    </row>
    <row r="127" spans="1:5" hidden="1" x14ac:dyDescent="0.3">
      <c r="A127" t="s">
        <v>325</v>
      </c>
      <c r="B127" t="s">
        <v>326</v>
      </c>
      <c r="C127" s="1">
        <v>44835</v>
      </c>
      <c r="D127" t="s">
        <v>310</v>
      </c>
      <c r="E127">
        <v>5.98</v>
      </c>
    </row>
    <row r="128" spans="1:5" hidden="1" x14ac:dyDescent="0.3">
      <c r="A128" t="s">
        <v>327</v>
      </c>
      <c r="B128" t="s">
        <v>328</v>
      </c>
      <c r="C128" s="1">
        <v>44835</v>
      </c>
      <c r="D128" t="s">
        <v>310</v>
      </c>
      <c r="E128">
        <v>7.95</v>
      </c>
    </row>
    <row r="129" spans="1:5" x14ac:dyDescent="0.3">
      <c r="A129" t="s">
        <v>329</v>
      </c>
      <c r="B129" t="s">
        <v>330</v>
      </c>
      <c r="C129" s="1">
        <v>44835</v>
      </c>
      <c r="D129" t="s">
        <v>310</v>
      </c>
      <c r="E129">
        <v>4466.25</v>
      </c>
    </row>
    <row r="130" spans="1:5" hidden="1" x14ac:dyDescent="0.3">
      <c r="A130" t="s">
        <v>331</v>
      </c>
      <c r="B130" t="s">
        <v>332</v>
      </c>
      <c r="C130" s="1">
        <v>44835</v>
      </c>
      <c r="D130" t="s">
        <v>310</v>
      </c>
      <c r="E130">
        <v>6.25</v>
      </c>
    </row>
    <row r="131" spans="1:5" hidden="1" x14ac:dyDescent="0.3">
      <c r="A131" t="s">
        <v>333</v>
      </c>
      <c r="B131" t="s">
        <v>334</v>
      </c>
      <c r="C131" s="1">
        <v>44835</v>
      </c>
      <c r="D131" t="s">
        <v>310</v>
      </c>
      <c r="E131">
        <v>-8.1999999999999993</v>
      </c>
    </row>
    <row r="132" spans="1:5" hidden="1" x14ac:dyDescent="0.3">
      <c r="A132" t="s">
        <v>335</v>
      </c>
      <c r="B132" t="s">
        <v>336</v>
      </c>
      <c r="C132" s="1">
        <v>44835</v>
      </c>
      <c r="D132" t="s">
        <v>310</v>
      </c>
      <c r="E132">
        <v>-15.88</v>
      </c>
    </row>
    <row r="133" spans="1:5" hidden="1" x14ac:dyDescent="0.3">
      <c r="A133" t="s">
        <v>337</v>
      </c>
      <c r="B133" t="s">
        <v>338</v>
      </c>
      <c r="C133" s="1">
        <v>44835</v>
      </c>
      <c r="D133" t="s">
        <v>310</v>
      </c>
      <c r="E133">
        <v>3.33</v>
      </c>
    </row>
    <row r="134" spans="1:5" hidden="1" x14ac:dyDescent="0.3">
      <c r="A134" t="s">
        <v>371</v>
      </c>
      <c r="B134" t="s">
        <v>372</v>
      </c>
      <c r="C134" s="1">
        <v>44835</v>
      </c>
      <c r="D134" t="s">
        <v>310</v>
      </c>
      <c r="E134">
        <v>-14.4</v>
      </c>
    </row>
    <row r="135" spans="1:5" hidden="1" x14ac:dyDescent="0.3">
      <c r="A135" t="s">
        <v>5</v>
      </c>
      <c r="B135" t="s">
        <v>6</v>
      </c>
      <c r="C135" s="1">
        <v>44743</v>
      </c>
      <c r="D135" t="s">
        <v>309</v>
      </c>
      <c r="E135">
        <v>2.35</v>
      </c>
    </row>
    <row r="136" spans="1:5" hidden="1" x14ac:dyDescent="0.3">
      <c r="A136" t="s">
        <v>325</v>
      </c>
      <c r="B136" t="s">
        <v>326</v>
      </c>
      <c r="C136" s="1">
        <v>44743</v>
      </c>
      <c r="D136" t="s">
        <v>309</v>
      </c>
      <c r="E136">
        <v>6.27</v>
      </c>
    </row>
    <row r="137" spans="1:5" hidden="1" x14ac:dyDescent="0.3">
      <c r="A137" t="s">
        <v>327</v>
      </c>
      <c r="B137" t="s">
        <v>328</v>
      </c>
      <c r="C137" s="1">
        <v>44743</v>
      </c>
      <c r="D137" t="s">
        <v>309</v>
      </c>
      <c r="E137">
        <v>8.69</v>
      </c>
    </row>
    <row r="138" spans="1:5" x14ac:dyDescent="0.3">
      <c r="A138" t="s">
        <v>329</v>
      </c>
      <c r="B138" t="s">
        <v>330</v>
      </c>
      <c r="C138" s="1">
        <v>44743</v>
      </c>
      <c r="D138" t="s">
        <v>309</v>
      </c>
      <c r="E138">
        <v>2333.33</v>
      </c>
    </row>
    <row r="139" spans="1:5" hidden="1" x14ac:dyDescent="0.3">
      <c r="A139" t="s">
        <v>331</v>
      </c>
      <c r="B139" t="s">
        <v>332</v>
      </c>
      <c r="C139" s="1">
        <v>44743</v>
      </c>
      <c r="D139" t="s">
        <v>309</v>
      </c>
      <c r="E139">
        <v>9.24</v>
      </c>
    </row>
    <row r="140" spans="1:5" hidden="1" x14ac:dyDescent="0.3">
      <c r="A140" t="s">
        <v>333</v>
      </c>
      <c r="B140" t="s">
        <v>334</v>
      </c>
      <c r="C140" s="1">
        <v>44743</v>
      </c>
      <c r="D140" t="s">
        <v>309</v>
      </c>
      <c r="E140">
        <v>-7.01</v>
      </c>
    </row>
    <row r="141" spans="1:5" hidden="1" x14ac:dyDescent="0.3">
      <c r="A141" t="s">
        <v>335</v>
      </c>
      <c r="B141" t="s">
        <v>336</v>
      </c>
      <c r="C141" s="1">
        <v>44743</v>
      </c>
      <c r="D141" t="s">
        <v>309</v>
      </c>
      <c r="E141">
        <v>-24.97</v>
      </c>
    </row>
    <row r="142" spans="1:5" hidden="1" x14ac:dyDescent="0.3">
      <c r="A142" t="s">
        <v>337</v>
      </c>
      <c r="B142" t="s">
        <v>338</v>
      </c>
      <c r="C142" s="1">
        <v>44743</v>
      </c>
      <c r="D142" t="s">
        <v>309</v>
      </c>
      <c r="E142">
        <v>4.1100000000000003</v>
      </c>
    </row>
    <row r="143" spans="1:5" hidden="1" x14ac:dyDescent="0.3">
      <c r="A143" t="s">
        <v>371</v>
      </c>
      <c r="B143" t="s">
        <v>372</v>
      </c>
      <c r="C143" s="1">
        <v>44743</v>
      </c>
      <c r="D143" t="s">
        <v>309</v>
      </c>
      <c r="E143">
        <v>-30.27</v>
      </c>
    </row>
    <row r="144" spans="1:5" hidden="1" x14ac:dyDescent="0.3">
      <c r="A144" t="s">
        <v>5</v>
      </c>
      <c r="B144" t="s">
        <v>6</v>
      </c>
      <c r="C144" s="1">
        <v>44652</v>
      </c>
      <c r="D144" t="s">
        <v>308</v>
      </c>
      <c r="E144">
        <v>2.4500000000000002</v>
      </c>
    </row>
    <row r="145" spans="1:5" hidden="1" x14ac:dyDescent="0.3">
      <c r="A145" t="s">
        <v>325</v>
      </c>
      <c r="B145" t="s">
        <v>326</v>
      </c>
      <c r="C145" s="1">
        <v>44652</v>
      </c>
      <c r="D145" t="s">
        <v>308</v>
      </c>
      <c r="E145">
        <v>6.03</v>
      </c>
    </row>
    <row r="146" spans="1:5" hidden="1" x14ac:dyDescent="0.3">
      <c r="A146" t="s">
        <v>327</v>
      </c>
      <c r="B146" t="s">
        <v>328</v>
      </c>
      <c r="C146" s="1">
        <v>44652</v>
      </c>
      <c r="D146" t="s">
        <v>308</v>
      </c>
      <c r="E146">
        <v>8.82</v>
      </c>
    </row>
    <row r="147" spans="1:5" x14ac:dyDescent="0.3">
      <c r="A147" t="s">
        <v>329</v>
      </c>
      <c r="B147" t="s">
        <v>330</v>
      </c>
      <c r="C147" s="1">
        <v>44652</v>
      </c>
      <c r="D147" t="s">
        <v>308</v>
      </c>
      <c r="E147">
        <v>1000</v>
      </c>
    </row>
    <row r="148" spans="1:5" hidden="1" x14ac:dyDescent="0.3">
      <c r="A148" t="s">
        <v>331</v>
      </c>
      <c r="B148" t="s">
        <v>332</v>
      </c>
      <c r="C148" s="1">
        <v>44652</v>
      </c>
      <c r="D148" t="s">
        <v>308</v>
      </c>
      <c r="E148">
        <v>8.76</v>
      </c>
    </row>
    <row r="149" spans="1:5" hidden="1" x14ac:dyDescent="0.3">
      <c r="A149" t="s">
        <v>333</v>
      </c>
      <c r="B149" t="s">
        <v>334</v>
      </c>
      <c r="C149" s="1">
        <v>44652</v>
      </c>
      <c r="D149" t="s">
        <v>308</v>
      </c>
      <c r="E149">
        <v>19.670000000000002</v>
      </c>
    </row>
    <row r="150" spans="1:5" hidden="1" x14ac:dyDescent="0.3">
      <c r="A150" t="s">
        <v>335</v>
      </c>
      <c r="B150" t="s">
        <v>336</v>
      </c>
      <c r="C150" s="1">
        <v>44652</v>
      </c>
      <c r="D150" t="s">
        <v>308</v>
      </c>
      <c r="E150">
        <v>-32.369999999999997</v>
      </c>
    </row>
    <row r="151" spans="1:5" hidden="1" x14ac:dyDescent="0.3">
      <c r="A151" t="s">
        <v>337</v>
      </c>
      <c r="B151" t="s">
        <v>338</v>
      </c>
      <c r="C151" s="1">
        <v>44652</v>
      </c>
      <c r="D151" t="s">
        <v>308</v>
      </c>
      <c r="E151">
        <v>4.6900000000000004</v>
      </c>
    </row>
    <row r="152" spans="1:5" hidden="1" x14ac:dyDescent="0.3">
      <c r="A152" t="s">
        <v>371</v>
      </c>
      <c r="B152" t="s">
        <v>372</v>
      </c>
      <c r="C152" s="1">
        <v>44652</v>
      </c>
      <c r="D152" t="s">
        <v>308</v>
      </c>
      <c r="E152">
        <v>-38.770000000000003</v>
      </c>
    </row>
    <row r="153" spans="1:5" hidden="1" x14ac:dyDescent="0.3">
      <c r="A153" t="s">
        <v>5</v>
      </c>
      <c r="B153" t="s">
        <v>6</v>
      </c>
      <c r="C153" s="1">
        <v>44562</v>
      </c>
      <c r="D153" t="s">
        <v>307</v>
      </c>
      <c r="E153">
        <v>4.03</v>
      </c>
    </row>
    <row r="154" spans="1:5" hidden="1" x14ac:dyDescent="0.3">
      <c r="A154" t="s">
        <v>325</v>
      </c>
      <c r="B154" t="s">
        <v>326</v>
      </c>
      <c r="C154" s="1">
        <v>44562</v>
      </c>
      <c r="D154" t="s">
        <v>307</v>
      </c>
      <c r="E154">
        <v>6.33</v>
      </c>
    </row>
    <row r="155" spans="1:5" hidden="1" x14ac:dyDescent="0.3">
      <c r="A155" t="s">
        <v>327</v>
      </c>
      <c r="B155" t="s">
        <v>328</v>
      </c>
      <c r="C155" s="1">
        <v>44562</v>
      </c>
      <c r="D155" t="s">
        <v>307</v>
      </c>
      <c r="E155">
        <v>7.66</v>
      </c>
    </row>
    <row r="156" spans="1:5" x14ac:dyDescent="0.3">
      <c r="A156" t="s">
        <v>329</v>
      </c>
      <c r="B156" t="s">
        <v>330</v>
      </c>
      <c r="C156" s="1">
        <v>44562</v>
      </c>
      <c r="D156" t="s">
        <v>307</v>
      </c>
      <c r="E156">
        <v>50</v>
      </c>
    </row>
    <row r="157" spans="1:5" hidden="1" x14ac:dyDescent="0.3">
      <c r="A157" t="s">
        <v>331</v>
      </c>
      <c r="B157" t="s">
        <v>332</v>
      </c>
      <c r="C157" s="1">
        <v>44562</v>
      </c>
      <c r="D157" t="s">
        <v>307</v>
      </c>
      <c r="E157">
        <v>12.47</v>
      </c>
    </row>
    <row r="158" spans="1:5" hidden="1" x14ac:dyDescent="0.3">
      <c r="A158" t="s">
        <v>333</v>
      </c>
      <c r="B158" t="s">
        <v>334</v>
      </c>
      <c r="C158" s="1">
        <v>44562</v>
      </c>
      <c r="D158" t="s">
        <v>307</v>
      </c>
      <c r="E158">
        <v>36.96</v>
      </c>
    </row>
    <row r="159" spans="1:5" hidden="1" x14ac:dyDescent="0.3">
      <c r="A159" t="s">
        <v>335</v>
      </c>
      <c r="B159" t="s">
        <v>336</v>
      </c>
      <c r="C159" s="1">
        <v>44562</v>
      </c>
      <c r="D159" t="s">
        <v>307</v>
      </c>
      <c r="E159">
        <v>-21.31</v>
      </c>
    </row>
    <row r="160" spans="1:5" hidden="1" x14ac:dyDescent="0.3">
      <c r="A160" t="s">
        <v>337</v>
      </c>
      <c r="B160" t="s">
        <v>338</v>
      </c>
      <c r="C160" s="1">
        <v>44562</v>
      </c>
      <c r="D160" t="s">
        <v>307</v>
      </c>
      <c r="E160">
        <v>5.03</v>
      </c>
    </row>
    <row r="161" spans="1:5" hidden="1" x14ac:dyDescent="0.3">
      <c r="A161" t="s">
        <v>371</v>
      </c>
      <c r="B161" t="s">
        <v>372</v>
      </c>
      <c r="C161" s="1">
        <v>44562</v>
      </c>
      <c r="D161" t="s">
        <v>307</v>
      </c>
      <c r="E161">
        <v>-37.96</v>
      </c>
    </row>
    <row r="162" spans="1:5" hidden="1" x14ac:dyDescent="0.3">
      <c r="A162" t="s">
        <v>5</v>
      </c>
      <c r="B162" t="s">
        <v>6</v>
      </c>
      <c r="C162" s="1">
        <v>44470</v>
      </c>
      <c r="D162" t="s">
        <v>306</v>
      </c>
      <c r="E162">
        <v>5.76</v>
      </c>
    </row>
    <row r="163" spans="1:5" hidden="1" x14ac:dyDescent="0.3">
      <c r="A163" t="s">
        <v>325</v>
      </c>
      <c r="B163" t="s">
        <v>326</v>
      </c>
      <c r="C163" s="1">
        <v>44470</v>
      </c>
      <c r="D163" t="s">
        <v>306</v>
      </c>
      <c r="E163">
        <v>5.0199999999999996</v>
      </c>
    </row>
    <row r="164" spans="1:5" hidden="1" x14ac:dyDescent="0.3">
      <c r="A164" t="s">
        <v>327</v>
      </c>
      <c r="B164" t="s">
        <v>328</v>
      </c>
      <c r="C164" s="1">
        <v>44470</v>
      </c>
      <c r="D164" t="s">
        <v>306</v>
      </c>
      <c r="E164">
        <v>6.08</v>
      </c>
    </row>
    <row r="165" spans="1:5" x14ac:dyDescent="0.3">
      <c r="A165" t="s">
        <v>329</v>
      </c>
      <c r="B165" t="s">
        <v>330</v>
      </c>
      <c r="C165" s="1">
        <v>44470</v>
      </c>
      <c r="D165" t="s">
        <v>306</v>
      </c>
      <c r="E165">
        <v>-11.11</v>
      </c>
    </row>
    <row r="166" spans="1:5" hidden="1" x14ac:dyDescent="0.3">
      <c r="A166" t="s">
        <v>331</v>
      </c>
      <c r="B166" t="s">
        <v>332</v>
      </c>
      <c r="C166" s="1">
        <v>44470</v>
      </c>
      <c r="D166" t="s">
        <v>306</v>
      </c>
      <c r="E166">
        <v>15.62</v>
      </c>
    </row>
    <row r="167" spans="1:5" hidden="1" x14ac:dyDescent="0.3">
      <c r="A167" t="s">
        <v>333</v>
      </c>
      <c r="B167" t="s">
        <v>334</v>
      </c>
      <c r="C167" s="1">
        <v>44470</v>
      </c>
      <c r="D167" t="s">
        <v>306</v>
      </c>
      <c r="E167">
        <v>20.8</v>
      </c>
    </row>
    <row r="168" spans="1:5" hidden="1" x14ac:dyDescent="0.3">
      <c r="A168" t="s">
        <v>335</v>
      </c>
      <c r="B168" t="s">
        <v>336</v>
      </c>
      <c r="C168" s="1">
        <v>44470</v>
      </c>
      <c r="D168" t="s">
        <v>306</v>
      </c>
      <c r="E168">
        <v>-12.41</v>
      </c>
    </row>
    <row r="169" spans="1:5" hidden="1" x14ac:dyDescent="0.3">
      <c r="A169" t="s">
        <v>337</v>
      </c>
      <c r="B169" t="s">
        <v>338</v>
      </c>
      <c r="C169" s="1">
        <v>44470</v>
      </c>
      <c r="D169" t="s">
        <v>306</v>
      </c>
      <c r="E169">
        <v>4.6500000000000004</v>
      </c>
    </row>
    <row r="170" spans="1:5" hidden="1" x14ac:dyDescent="0.3">
      <c r="A170" t="s">
        <v>371</v>
      </c>
      <c r="B170" t="s">
        <v>372</v>
      </c>
      <c r="C170" s="1">
        <v>44470</v>
      </c>
      <c r="D170" t="s">
        <v>306</v>
      </c>
      <c r="E170">
        <v>-38.42</v>
      </c>
    </row>
    <row r="171" spans="1:5" hidden="1" x14ac:dyDescent="0.3">
      <c r="A171" t="s">
        <v>5</v>
      </c>
      <c r="B171" t="s">
        <v>6</v>
      </c>
      <c r="C171" s="1">
        <v>44378</v>
      </c>
      <c r="D171" t="s">
        <v>305</v>
      </c>
      <c r="E171">
        <v>5.15</v>
      </c>
    </row>
    <row r="172" spans="1:5" hidden="1" x14ac:dyDescent="0.3">
      <c r="A172" t="s">
        <v>325</v>
      </c>
      <c r="B172" t="s">
        <v>326</v>
      </c>
      <c r="C172" s="1">
        <v>44378</v>
      </c>
      <c r="D172" t="s">
        <v>305</v>
      </c>
      <c r="E172">
        <v>4.05</v>
      </c>
    </row>
    <row r="173" spans="1:5" hidden="1" x14ac:dyDescent="0.3">
      <c r="A173" t="s">
        <v>327</v>
      </c>
      <c r="B173" t="s">
        <v>328</v>
      </c>
      <c r="C173" s="1">
        <v>44378</v>
      </c>
      <c r="D173" t="s">
        <v>305</v>
      </c>
      <c r="E173">
        <v>4.63</v>
      </c>
    </row>
    <row r="174" spans="1:5" x14ac:dyDescent="0.3">
      <c r="A174" t="s">
        <v>329</v>
      </c>
      <c r="B174" t="s">
        <v>330</v>
      </c>
      <c r="C174" s="1">
        <v>44378</v>
      </c>
      <c r="D174" t="s">
        <v>305</v>
      </c>
      <c r="E174">
        <v>-3.23</v>
      </c>
    </row>
    <row r="175" spans="1:5" hidden="1" x14ac:dyDescent="0.3">
      <c r="A175" t="s">
        <v>331</v>
      </c>
      <c r="B175" t="s">
        <v>332</v>
      </c>
      <c r="C175" s="1">
        <v>44378</v>
      </c>
      <c r="D175" t="s">
        <v>305</v>
      </c>
      <c r="E175">
        <v>13.68</v>
      </c>
    </row>
    <row r="176" spans="1:5" hidden="1" x14ac:dyDescent="0.3">
      <c r="A176" t="s">
        <v>333</v>
      </c>
      <c r="B176" t="s">
        <v>334</v>
      </c>
      <c r="C176" s="1">
        <v>44378</v>
      </c>
      <c r="D176" t="s">
        <v>305</v>
      </c>
      <c r="E176">
        <v>21.35</v>
      </c>
    </row>
    <row r="177" spans="1:5" hidden="1" x14ac:dyDescent="0.3">
      <c r="A177" t="s">
        <v>335</v>
      </c>
      <c r="B177" t="s">
        <v>336</v>
      </c>
      <c r="C177" s="1">
        <v>44378</v>
      </c>
      <c r="D177" t="s">
        <v>305</v>
      </c>
      <c r="E177">
        <v>-1.19</v>
      </c>
    </row>
    <row r="178" spans="1:5" hidden="1" x14ac:dyDescent="0.3">
      <c r="A178" t="s">
        <v>337</v>
      </c>
      <c r="B178" t="s">
        <v>338</v>
      </c>
      <c r="C178" s="1">
        <v>44378</v>
      </c>
      <c r="D178" t="s">
        <v>305</v>
      </c>
      <c r="E178">
        <v>4.74</v>
      </c>
    </row>
    <row r="179" spans="1:5" hidden="1" x14ac:dyDescent="0.3">
      <c r="A179" t="s">
        <v>371</v>
      </c>
      <c r="B179" t="s">
        <v>372</v>
      </c>
      <c r="C179" s="1">
        <v>44378</v>
      </c>
      <c r="D179" t="s">
        <v>305</v>
      </c>
      <c r="E179">
        <v>-42.42</v>
      </c>
    </row>
    <row r="180" spans="1:5" hidden="1" x14ac:dyDescent="0.3">
      <c r="A180" t="s">
        <v>5</v>
      </c>
      <c r="B180" t="s">
        <v>6</v>
      </c>
      <c r="C180" s="1">
        <v>44287</v>
      </c>
      <c r="D180" t="s">
        <v>304</v>
      </c>
      <c r="E180">
        <v>12.39</v>
      </c>
    </row>
    <row r="181" spans="1:5" hidden="1" x14ac:dyDescent="0.3">
      <c r="A181" t="s">
        <v>325</v>
      </c>
      <c r="B181" t="s">
        <v>326</v>
      </c>
      <c r="C181" s="1">
        <v>44287</v>
      </c>
      <c r="D181" t="s">
        <v>304</v>
      </c>
      <c r="E181">
        <v>3.74</v>
      </c>
    </row>
    <row r="182" spans="1:5" hidden="1" x14ac:dyDescent="0.3">
      <c r="A182" t="s">
        <v>327</v>
      </c>
      <c r="B182" t="s">
        <v>328</v>
      </c>
      <c r="C182" s="1">
        <v>44287</v>
      </c>
      <c r="D182" t="s">
        <v>304</v>
      </c>
      <c r="E182">
        <v>3.02</v>
      </c>
    </row>
    <row r="183" spans="1:5" x14ac:dyDescent="0.3">
      <c r="A183" t="s">
        <v>329</v>
      </c>
      <c r="B183" t="s">
        <v>330</v>
      </c>
      <c r="C183" s="1">
        <v>44287</v>
      </c>
      <c r="D183" t="s">
        <v>304</v>
      </c>
      <c r="E183">
        <v>16.670000000000002</v>
      </c>
    </row>
    <row r="184" spans="1:5" hidden="1" x14ac:dyDescent="0.3">
      <c r="A184" t="s">
        <v>331</v>
      </c>
      <c r="B184" t="s">
        <v>332</v>
      </c>
      <c r="C184" s="1">
        <v>44287</v>
      </c>
      <c r="D184" t="s">
        <v>304</v>
      </c>
      <c r="E184">
        <v>30.67</v>
      </c>
    </row>
    <row r="185" spans="1:5" hidden="1" x14ac:dyDescent="0.3">
      <c r="A185" t="s">
        <v>333</v>
      </c>
      <c r="B185" t="s">
        <v>334</v>
      </c>
      <c r="C185" s="1">
        <v>44287</v>
      </c>
      <c r="D185" t="s">
        <v>304</v>
      </c>
      <c r="E185">
        <v>28.68</v>
      </c>
    </row>
    <row r="186" spans="1:5" hidden="1" x14ac:dyDescent="0.3">
      <c r="A186" t="s">
        <v>335</v>
      </c>
      <c r="B186" t="s">
        <v>336</v>
      </c>
      <c r="C186" s="1">
        <v>44287</v>
      </c>
      <c r="D186" t="s">
        <v>304</v>
      </c>
      <c r="E186">
        <v>15.53</v>
      </c>
    </row>
    <row r="187" spans="1:5" hidden="1" x14ac:dyDescent="0.3">
      <c r="A187" t="s">
        <v>337</v>
      </c>
      <c r="B187" t="s">
        <v>338</v>
      </c>
      <c r="C187" s="1">
        <v>44287</v>
      </c>
      <c r="D187" t="s">
        <v>304</v>
      </c>
      <c r="E187">
        <v>8.56</v>
      </c>
    </row>
    <row r="188" spans="1:5" hidden="1" x14ac:dyDescent="0.3">
      <c r="A188" t="s">
        <v>371</v>
      </c>
      <c r="B188" t="s">
        <v>372</v>
      </c>
      <c r="C188" s="1">
        <v>44287</v>
      </c>
      <c r="D188" t="s">
        <v>304</v>
      </c>
      <c r="E188">
        <v>-54.36</v>
      </c>
    </row>
    <row r="189" spans="1:5" hidden="1" x14ac:dyDescent="0.3">
      <c r="A189" t="s">
        <v>5</v>
      </c>
      <c r="B189" t="s">
        <v>6</v>
      </c>
      <c r="C189" s="1">
        <v>44197</v>
      </c>
      <c r="D189" t="s">
        <v>303</v>
      </c>
      <c r="E189">
        <v>1.8</v>
      </c>
    </row>
    <row r="190" spans="1:5" hidden="1" x14ac:dyDescent="0.3">
      <c r="A190" t="s">
        <v>325</v>
      </c>
      <c r="B190" t="s">
        <v>326</v>
      </c>
      <c r="C190" s="1">
        <v>44197</v>
      </c>
      <c r="D190" t="s">
        <v>303</v>
      </c>
      <c r="E190">
        <v>1.44</v>
      </c>
    </row>
    <row r="191" spans="1:5" hidden="1" x14ac:dyDescent="0.3">
      <c r="A191" t="s">
        <v>327</v>
      </c>
      <c r="B191" t="s">
        <v>328</v>
      </c>
      <c r="C191" s="1">
        <v>44197</v>
      </c>
      <c r="D191" t="s">
        <v>303</v>
      </c>
      <c r="E191">
        <v>1.8</v>
      </c>
    </row>
    <row r="192" spans="1:5" x14ac:dyDescent="0.3">
      <c r="A192" t="s">
        <v>329</v>
      </c>
      <c r="B192" t="s">
        <v>330</v>
      </c>
      <c r="C192" s="1">
        <v>44197</v>
      </c>
      <c r="D192" t="s">
        <v>303</v>
      </c>
      <c r="E192">
        <v>-93.65</v>
      </c>
    </row>
    <row r="193" spans="1:5" hidden="1" x14ac:dyDescent="0.3">
      <c r="A193" t="s">
        <v>331</v>
      </c>
      <c r="B193" t="s">
        <v>332</v>
      </c>
      <c r="C193" s="1">
        <v>44197</v>
      </c>
      <c r="D193" t="s">
        <v>303</v>
      </c>
      <c r="E193">
        <v>13.94</v>
      </c>
    </row>
    <row r="194" spans="1:5" hidden="1" x14ac:dyDescent="0.3">
      <c r="A194" t="s">
        <v>333</v>
      </c>
      <c r="B194" t="s">
        <v>334</v>
      </c>
      <c r="C194" s="1">
        <v>44197</v>
      </c>
      <c r="D194" t="s">
        <v>303</v>
      </c>
      <c r="E194">
        <v>57.71</v>
      </c>
    </row>
    <row r="195" spans="1:5" hidden="1" x14ac:dyDescent="0.3">
      <c r="A195" t="s">
        <v>335</v>
      </c>
      <c r="B195" t="s">
        <v>336</v>
      </c>
      <c r="C195" s="1">
        <v>44197</v>
      </c>
      <c r="D195" t="s">
        <v>303</v>
      </c>
      <c r="E195">
        <v>-16.97</v>
      </c>
    </row>
    <row r="196" spans="1:5" hidden="1" x14ac:dyDescent="0.3">
      <c r="A196" t="s">
        <v>337</v>
      </c>
      <c r="B196" t="s">
        <v>338</v>
      </c>
      <c r="C196" s="1">
        <v>44197</v>
      </c>
      <c r="D196" t="s">
        <v>303</v>
      </c>
      <c r="E196">
        <v>-5.44</v>
      </c>
    </row>
    <row r="197" spans="1:5" hidden="1" x14ac:dyDescent="0.3">
      <c r="A197" t="s">
        <v>371</v>
      </c>
      <c r="B197" t="s">
        <v>372</v>
      </c>
      <c r="C197" s="1">
        <v>44197</v>
      </c>
      <c r="D197" t="s">
        <v>303</v>
      </c>
      <c r="E197">
        <v>62.61</v>
      </c>
    </row>
    <row r="198" spans="1:5" hidden="1" x14ac:dyDescent="0.3">
      <c r="A198" t="s">
        <v>5</v>
      </c>
      <c r="B198" t="s">
        <v>6</v>
      </c>
      <c r="C198" s="1">
        <v>44105</v>
      </c>
      <c r="D198" t="s">
        <v>302</v>
      </c>
      <c r="E198">
        <v>-0.92</v>
      </c>
    </row>
    <row r="199" spans="1:5" hidden="1" x14ac:dyDescent="0.3">
      <c r="A199" t="s">
        <v>325</v>
      </c>
      <c r="B199" t="s">
        <v>326</v>
      </c>
      <c r="C199" s="1">
        <v>44105</v>
      </c>
      <c r="D199" t="s">
        <v>302</v>
      </c>
      <c r="E199">
        <v>1.64</v>
      </c>
    </row>
    <row r="200" spans="1:5" hidden="1" x14ac:dyDescent="0.3">
      <c r="A200" t="s">
        <v>327</v>
      </c>
      <c r="B200" t="s">
        <v>328</v>
      </c>
      <c r="C200" s="1">
        <v>44105</v>
      </c>
      <c r="D200" t="s">
        <v>302</v>
      </c>
      <c r="E200">
        <v>1.26</v>
      </c>
    </row>
    <row r="201" spans="1:5" x14ac:dyDescent="0.3">
      <c r="A201" t="s">
        <v>329</v>
      </c>
      <c r="B201" t="s">
        <v>330</v>
      </c>
      <c r="C201" s="1">
        <v>44105</v>
      </c>
      <c r="D201" t="s">
        <v>302</v>
      </c>
      <c r="E201">
        <v>-94.52</v>
      </c>
    </row>
    <row r="202" spans="1:5" hidden="1" x14ac:dyDescent="0.3">
      <c r="A202" t="s">
        <v>331</v>
      </c>
      <c r="B202" t="s">
        <v>332</v>
      </c>
      <c r="C202" s="1">
        <v>44105</v>
      </c>
      <c r="D202" t="s">
        <v>302</v>
      </c>
      <c r="E202">
        <v>4.5999999999999996</v>
      </c>
    </row>
    <row r="203" spans="1:5" hidden="1" x14ac:dyDescent="0.3">
      <c r="A203" t="s">
        <v>333</v>
      </c>
      <c r="B203" t="s">
        <v>334</v>
      </c>
      <c r="C203" s="1">
        <v>44105</v>
      </c>
      <c r="D203" t="s">
        <v>302</v>
      </c>
      <c r="E203">
        <v>57.41</v>
      </c>
    </row>
    <row r="204" spans="1:5" hidden="1" x14ac:dyDescent="0.3">
      <c r="A204" t="s">
        <v>335</v>
      </c>
      <c r="B204" t="s">
        <v>336</v>
      </c>
      <c r="C204" s="1">
        <v>44105</v>
      </c>
      <c r="D204" t="s">
        <v>302</v>
      </c>
      <c r="E204">
        <v>-17.899999999999999</v>
      </c>
    </row>
    <row r="205" spans="1:5" hidden="1" x14ac:dyDescent="0.3">
      <c r="A205" t="s">
        <v>337</v>
      </c>
      <c r="B205" t="s">
        <v>338</v>
      </c>
      <c r="C205" s="1">
        <v>44105</v>
      </c>
      <c r="D205" t="s">
        <v>302</v>
      </c>
      <c r="E205">
        <v>-5.97</v>
      </c>
    </row>
    <row r="206" spans="1:5" hidden="1" x14ac:dyDescent="0.3">
      <c r="A206" t="s">
        <v>371</v>
      </c>
      <c r="B206" t="s">
        <v>372</v>
      </c>
      <c r="C206" s="1">
        <v>44105</v>
      </c>
      <c r="D206" t="s">
        <v>302</v>
      </c>
      <c r="E206">
        <v>87.97</v>
      </c>
    </row>
    <row r="207" spans="1:5" hidden="1" x14ac:dyDescent="0.3">
      <c r="A207" t="s">
        <v>5</v>
      </c>
      <c r="B207" t="s">
        <v>6</v>
      </c>
      <c r="C207" s="1">
        <v>44013</v>
      </c>
      <c r="D207" t="s">
        <v>301</v>
      </c>
      <c r="E207">
        <v>-1.36</v>
      </c>
    </row>
    <row r="208" spans="1:5" hidden="1" x14ac:dyDescent="0.3">
      <c r="A208" t="s">
        <v>325</v>
      </c>
      <c r="B208" t="s">
        <v>326</v>
      </c>
      <c r="C208" s="1">
        <v>44013</v>
      </c>
      <c r="D208" t="s">
        <v>301</v>
      </c>
      <c r="E208">
        <v>1.67</v>
      </c>
    </row>
    <row r="209" spans="1:5" hidden="1" x14ac:dyDescent="0.3">
      <c r="A209" t="s">
        <v>327</v>
      </c>
      <c r="B209" t="s">
        <v>328</v>
      </c>
      <c r="C209" s="1">
        <v>44013</v>
      </c>
      <c r="D209" t="s">
        <v>301</v>
      </c>
      <c r="E209">
        <v>1.1499999999999999</v>
      </c>
    </row>
    <row r="210" spans="1:5" x14ac:dyDescent="0.3">
      <c r="A210" t="s">
        <v>329</v>
      </c>
      <c r="B210" t="s">
        <v>330</v>
      </c>
      <c r="C210" s="1">
        <v>44013</v>
      </c>
      <c r="D210" t="s">
        <v>301</v>
      </c>
      <c r="E210">
        <v>-95.75</v>
      </c>
    </row>
    <row r="211" spans="1:5" hidden="1" x14ac:dyDescent="0.3">
      <c r="A211" t="s">
        <v>331</v>
      </c>
      <c r="B211" t="s">
        <v>332</v>
      </c>
      <c r="C211" s="1">
        <v>44013</v>
      </c>
      <c r="D211" t="s">
        <v>301</v>
      </c>
      <c r="E211">
        <v>4.4000000000000004</v>
      </c>
    </row>
    <row r="212" spans="1:5" hidden="1" x14ac:dyDescent="0.3">
      <c r="A212" t="s">
        <v>333</v>
      </c>
      <c r="B212" t="s">
        <v>334</v>
      </c>
      <c r="C212" s="1">
        <v>44013</v>
      </c>
      <c r="D212" t="s">
        <v>301</v>
      </c>
      <c r="E212">
        <v>30.5</v>
      </c>
    </row>
    <row r="213" spans="1:5" hidden="1" x14ac:dyDescent="0.3">
      <c r="A213" t="s">
        <v>335</v>
      </c>
      <c r="B213" t="s">
        <v>336</v>
      </c>
      <c r="C213" s="1">
        <v>44013</v>
      </c>
      <c r="D213" t="s">
        <v>301</v>
      </c>
      <c r="E213">
        <v>-19.329999999999998</v>
      </c>
    </row>
    <row r="214" spans="1:5" hidden="1" x14ac:dyDescent="0.3">
      <c r="A214" t="s">
        <v>337</v>
      </c>
      <c r="B214" t="s">
        <v>338</v>
      </c>
      <c r="C214" s="1">
        <v>44013</v>
      </c>
      <c r="D214" t="s">
        <v>301</v>
      </c>
      <c r="E214">
        <v>-6.97</v>
      </c>
    </row>
    <row r="215" spans="1:5" hidden="1" x14ac:dyDescent="0.3">
      <c r="A215" t="s">
        <v>371</v>
      </c>
      <c r="B215" t="s">
        <v>372</v>
      </c>
      <c r="C215" s="1">
        <v>44013</v>
      </c>
      <c r="D215" t="s">
        <v>301</v>
      </c>
      <c r="E215">
        <v>144.44</v>
      </c>
    </row>
    <row r="216" spans="1:5" hidden="1" x14ac:dyDescent="0.3">
      <c r="A216" t="s">
        <v>5</v>
      </c>
      <c r="B216" t="s">
        <v>6</v>
      </c>
      <c r="C216" s="1">
        <v>43922</v>
      </c>
      <c r="D216" t="s">
        <v>300</v>
      </c>
      <c r="E216">
        <v>-7.4</v>
      </c>
    </row>
    <row r="217" spans="1:5" hidden="1" x14ac:dyDescent="0.3">
      <c r="A217" t="s">
        <v>325</v>
      </c>
      <c r="B217" t="s">
        <v>326</v>
      </c>
      <c r="C217" s="1">
        <v>43922</v>
      </c>
      <c r="D217" t="s">
        <v>300</v>
      </c>
      <c r="E217">
        <v>1.28</v>
      </c>
    </row>
    <row r="218" spans="1:5" hidden="1" x14ac:dyDescent="0.3">
      <c r="A218" t="s">
        <v>327</v>
      </c>
      <c r="B218" t="s">
        <v>328</v>
      </c>
      <c r="C218" s="1">
        <v>43922</v>
      </c>
      <c r="D218" t="s">
        <v>300</v>
      </c>
      <c r="E218">
        <v>1.1100000000000001</v>
      </c>
    </row>
    <row r="219" spans="1:5" x14ac:dyDescent="0.3">
      <c r="A219" t="s">
        <v>329</v>
      </c>
      <c r="B219" t="s">
        <v>330</v>
      </c>
      <c r="C219" s="1">
        <v>43922</v>
      </c>
      <c r="D219" t="s">
        <v>300</v>
      </c>
      <c r="E219">
        <v>-97.5</v>
      </c>
    </row>
    <row r="220" spans="1:5" hidden="1" x14ac:dyDescent="0.3">
      <c r="A220" t="s">
        <v>331</v>
      </c>
      <c r="B220" t="s">
        <v>332</v>
      </c>
      <c r="C220" s="1">
        <v>43922</v>
      </c>
      <c r="D220" t="s">
        <v>300</v>
      </c>
      <c r="E220">
        <v>-7.41</v>
      </c>
    </row>
    <row r="221" spans="1:5" hidden="1" x14ac:dyDescent="0.3">
      <c r="A221" t="s">
        <v>333</v>
      </c>
      <c r="B221" t="s">
        <v>334</v>
      </c>
      <c r="C221" s="1">
        <v>43922</v>
      </c>
      <c r="D221" t="s">
        <v>300</v>
      </c>
      <c r="E221">
        <v>7.24</v>
      </c>
    </row>
    <row r="222" spans="1:5" hidden="1" x14ac:dyDescent="0.3">
      <c r="A222" t="s">
        <v>335</v>
      </c>
      <c r="B222" t="s">
        <v>336</v>
      </c>
      <c r="C222" s="1">
        <v>43922</v>
      </c>
      <c r="D222" t="s">
        <v>300</v>
      </c>
      <c r="E222">
        <v>-24.78</v>
      </c>
    </row>
    <row r="223" spans="1:5" hidden="1" x14ac:dyDescent="0.3">
      <c r="A223" t="s">
        <v>337</v>
      </c>
      <c r="B223" t="s">
        <v>338</v>
      </c>
      <c r="C223" s="1">
        <v>43922</v>
      </c>
      <c r="D223" t="s">
        <v>300</v>
      </c>
      <c r="E223">
        <v>-11.26</v>
      </c>
    </row>
    <row r="224" spans="1:5" hidden="1" x14ac:dyDescent="0.3">
      <c r="A224" t="s">
        <v>371</v>
      </c>
      <c r="B224" t="s">
        <v>372</v>
      </c>
      <c r="C224" s="1">
        <v>43922</v>
      </c>
      <c r="D224" t="s">
        <v>300</v>
      </c>
      <c r="E224">
        <v>257.83</v>
      </c>
    </row>
    <row r="225" spans="1:5" hidden="1" x14ac:dyDescent="0.3">
      <c r="A225" t="s">
        <v>5</v>
      </c>
      <c r="B225" t="s">
        <v>6</v>
      </c>
      <c r="C225" s="1">
        <v>43831</v>
      </c>
      <c r="D225" t="s">
        <v>299</v>
      </c>
      <c r="E225">
        <v>1.36</v>
      </c>
    </row>
    <row r="226" spans="1:5" hidden="1" x14ac:dyDescent="0.3">
      <c r="A226" t="s">
        <v>325</v>
      </c>
      <c r="B226" t="s">
        <v>326</v>
      </c>
      <c r="C226" s="1">
        <v>43831</v>
      </c>
      <c r="D226" t="s">
        <v>299</v>
      </c>
      <c r="E226">
        <v>2.25</v>
      </c>
    </row>
    <row r="227" spans="1:5" hidden="1" x14ac:dyDescent="0.3">
      <c r="A227" t="s">
        <v>327</v>
      </c>
      <c r="B227" t="s">
        <v>328</v>
      </c>
      <c r="C227" s="1">
        <v>43831</v>
      </c>
      <c r="D227" t="s">
        <v>299</v>
      </c>
      <c r="E227">
        <v>1.1100000000000001</v>
      </c>
    </row>
    <row r="228" spans="1:5" x14ac:dyDescent="0.3">
      <c r="A228" t="s">
        <v>329</v>
      </c>
      <c r="B228" t="s">
        <v>330</v>
      </c>
      <c r="C228" s="1">
        <v>43831</v>
      </c>
      <c r="D228" t="s">
        <v>299</v>
      </c>
      <c r="E228">
        <v>-47.57</v>
      </c>
    </row>
    <row r="229" spans="1:5" hidden="1" x14ac:dyDescent="0.3">
      <c r="A229" t="s">
        <v>331</v>
      </c>
      <c r="B229" t="s">
        <v>332</v>
      </c>
      <c r="C229" s="1">
        <v>43831</v>
      </c>
      <c r="D229" t="s">
        <v>299</v>
      </c>
      <c r="E229">
        <v>1.17</v>
      </c>
    </row>
    <row r="230" spans="1:5" hidden="1" x14ac:dyDescent="0.3">
      <c r="A230" t="s">
        <v>333</v>
      </c>
      <c r="B230" t="s">
        <v>334</v>
      </c>
      <c r="C230" s="1">
        <v>43831</v>
      </c>
      <c r="D230" t="s">
        <v>299</v>
      </c>
      <c r="E230">
        <v>-12.88</v>
      </c>
    </row>
    <row r="231" spans="1:5" hidden="1" x14ac:dyDescent="0.3">
      <c r="A231" t="s">
        <v>335</v>
      </c>
      <c r="B231" t="s">
        <v>336</v>
      </c>
      <c r="C231" s="1">
        <v>43831</v>
      </c>
      <c r="D231" t="s">
        <v>299</v>
      </c>
      <c r="E231">
        <v>2.29</v>
      </c>
    </row>
    <row r="232" spans="1:5" hidden="1" x14ac:dyDescent="0.3">
      <c r="A232" t="s">
        <v>337</v>
      </c>
      <c r="B232" t="s">
        <v>338</v>
      </c>
      <c r="C232" s="1">
        <v>43831</v>
      </c>
      <c r="D232" t="s">
        <v>299</v>
      </c>
      <c r="E232">
        <v>1.07</v>
      </c>
    </row>
    <row r="233" spans="1:5" hidden="1" x14ac:dyDescent="0.3">
      <c r="A233" t="s">
        <v>371</v>
      </c>
      <c r="B233" t="s">
        <v>372</v>
      </c>
      <c r="C233" s="1">
        <v>43831</v>
      </c>
      <c r="D233" t="s">
        <v>299</v>
      </c>
      <c r="E233">
        <v>-0.88</v>
      </c>
    </row>
    <row r="234" spans="1:5" hidden="1" x14ac:dyDescent="0.3">
      <c r="A234" t="s">
        <v>5</v>
      </c>
      <c r="B234" t="s">
        <v>6</v>
      </c>
      <c r="C234" s="1">
        <v>43739</v>
      </c>
      <c r="D234" t="s">
        <v>298</v>
      </c>
      <c r="E234">
        <v>3.35</v>
      </c>
    </row>
    <row r="235" spans="1:5" hidden="1" x14ac:dyDescent="0.3">
      <c r="A235" t="s">
        <v>325</v>
      </c>
      <c r="B235" t="s">
        <v>326</v>
      </c>
      <c r="C235" s="1">
        <v>43739</v>
      </c>
      <c r="D235" t="s">
        <v>298</v>
      </c>
      <c r="E235">
        <v>2.33</v>
      </c>
    </row>
    <row r="236" spans="1:5" hidden="1" x14ac:dyDescent="0.3">
      <c r="A236" t="s">
        <v>327</v>
      </c>
      <c r="B236" t="s">
        <v>328</v>
      </c>
      <c r="C236" s="1">
        <v>43739</v>
      </c>
      <c r="D236" t="s">
        <v>298</v>
      </c>
      <c r="E236">
        <v>1.56</v>
      </c>
    </row>
    <row r="237" spans="1:5" x14ac:dyDescent="0.3">
      <c r="A237" t="s">
        <v>329</v>
      </c>
      <c r="B237" t="s">
        <v>330</v>
      </c>
      <c r="C237" s="1">
        <v>43739</v>
      </c>
      <c r="D237" t="s">
        <v>298</v>
      </c>
      <c r="E237">
        <v>-25.99</v>
      </c>
    </row>
    <row r="238" spans="1:5" hidden="1" x14ac:dyDescent="0.3">
      <c r="A238" t="s">
        <v>331</v>
      </c>
      <c r="B238" t="s">
        <v>332</v>
      </c>
      <c r="C238" s="1">
        <v>43739</v>
      </c>
      <c r="D238" t="s">
        <v>298</v>
      </c>
      <c r="E238">
        <v>3.8</v>
      </c>
    </row>
    <row r="239" spans="1:5" hidden="1" x14ac:dyDescent="0.3">
      <c r="A239" t="s">
        <v>333</v>
      </c>
      <c r="B239" t="s">
        <v>334</v>
      </c>
      <c r="C239" s="1">
        <v>43739</v>
      </c>
      <c r="D239" t="s">
        <v>298</v>
      </c>
      <c r="E239">
        <v>-21.73</v>
      </c>
    </row>
    <row r="240" spans="1:5" hidden="1" x14ac:dyDescent="0.3">
      <c r="A240" t="s">
        <v>335</v>
      </c>
      <c r="B240" t="s">
        <v>336</v>
      </c>
      <c r="C240" s="1">
        <v>43739</v>
      </c>
      <c r="D240" t="s">
        <v>298</v>
      </c>
      <c r="E240">
        <v>-0.95</v>
      </c>
    </row>
    <row r="241" spans="1:5" hidden="1" x14ac:dyDescent="0.3">
      <c r="A241" t="s">
        <v>337</v>
      </c>
      <c r="B241" t="s">
        <v>338</v>
      </c>
      <c r="C241" s="1">
        <v>43739</v>
      </c>
      <c r="D241" t="s">
        <v>298</v>
      </c>
      <c r="E241">
        <v>1.33</v>
      </c>
    </row>
    <row r="242" spans="1:5" hidden="1" x14ac:dyDescent="0.3">
      <c r="A242" t="s">
        <v>371</v>
      </c>
      <c r="B242" t="s">
        <v>372</v>
      </c>
      <c r="C242" s="1">
        <v>43739</v>
      </c>
      <c r="D242" t="s">
        <v>298</v>
      </c>
      <c r="E242">
        <v>-6.08</v>
      </c>
    </row>
    <row r="243" spans="1:5" hidden="1" x14ac:dyDescent="0.3">
      <c r="A243" t="s">
        <v>5</v>
      </c>
      <c r="B243" t="s">
        <v>6</v>
      </c>
      <c r="C243" s="1">
        <v>43647</v>
      </c>
      <c r="D243" t="s">
        <v>297</v>
      </c>
      <c r="E243">
        <v>2.8</v>
      </c>
    </row>
    <row r="244" spans="1:5" hidden="1" x14ac:dyDescent="0.3">
      <c r="A244" t="s">
        <v>325</v>
      </c>
      <c r="B244" t="s">
        <v>326</v>
      </c>
      <c r="C244" s="1">
        <v>43647</v>
      </c>
      <c r="D244" t="s">
        <v>297</v>
      </c>
      <c r="E244">
        <v>2.27</v>
      </c>
    </row>
    <row r="245" spans="1:5" hidden="1" x14ac:dyDescent="0.3">
      <c r="A245" t="s">
        <v>327</v>
      </c>
      <c r="B245" t="s">
        <v>328</v>
      </c>
      <c r="C245" s="1">
        <v>43647</v>
      </c>
      <c r="D245" t="s">
        <v>297</v>
      </c>
      <c r="E245">
        <v>1.96</v>
      </c>
    </row>
    <row r="246" spans="1:5" x14ac:dyDescent="0.3">
      <c r="A246" t="s">
        <v>329</v>
      </c>
      <c r="B246" t="s">
        <v>330</v>
      </c>
      <c r="C246" s="1">
        <v>43647</v>
      </c>
      <c r="D246" t="s">
        <v>297</v>
      </c>
      <c r="E246">
        <v>13.88</v>
      </c>
    </row>
    <row r="247" spans="1:5" hidden="1" x14ac:dyDescent="0.3">
      <c r="A247" t="s">
        <v>331</v>
      </c>
      <c r="B247" t="s">
        <v>332</v>
      </c>
      <c r="C247" s="1">
        <v>43647</v>
      </c>
      <c r="D247" t="s">
        <v>297</v>
      </c>
      <c r="E247">
        <v>3.57</v>
      </c>
    </row>
    <row r="248" spans="1:5" hidden="1" x14ac:dyDescent="0.3">
      <c r="A248" t="s">
        <v>333</v>
      </c>
      <c r="B248" t="s">
        <v>334</v>
      </c>
      <c r="C248" s="1">
        <v>43647</v>
      </c>
      <c r="D248" t="s">
        <v>297</v>
      </c>
      <c r="E248">
        <v>-6.24</v>
      </c>
    </row>
    <row r="249" spans="1:5" hidden="1" x14ac:dyDescent="0.3">
      <c r="A249" t="s">
        <v>335</v>
      </c>
      <c r="B249" t="s">
        <v>336</v>
      </c>
      <c r="C249" s="1">
        <v>43647</v>
      </c>
      <c r="D249" t="s">
        <v>297</v>
      </c>
      <c r="E249">
        <v>-4.3499999999999996</v>
      </c>
    </row>
    <row r="250" spans="1:5" hidden="1" x14ac:dyDescent="0.3">
      <c r="A250" t="s">
        <v>337</v>
      </c>
      <c r="B250" t="s">
        <v>338</v>
      </c>
      <c r="C250" s="1">
        <v>43647</v>
      </c>
      <c r="D250" t="s">
        <v>297</v>
      </c>
      <c r="E250">
        <v>1.3</v>
      </c>
    </row>
    <row r="251" spans="1:5" hidden="1" x14ac:dyDescent="0.3">
      <c r="A251" t="s">
        <v>371</v>
      </c>
      <c r="B251" t="s">
        <v>372</v>
      </c>
      <c r="C251" s="1">
        <v>43647</v>
      </c>
      <c r="D251" t="s">
        <v>297</v>
      </c>
      <c r="E251">
        <v>-4.43</v>
      </c>
    </row>
    <row r="252" spans="1:5" hidden="1" x14ac:dyDescent="0.3">
      <c r="A252" t="s">
        <v>5</v>
      </c>
      <c r="B252" t="s">
        <v>6</v>
      </c>
      <c r="C252" s="1">
        <v>43556</v>
      </c>
      <c r="D252" t="s">
        <v>296</v>
      </c>
      <c r="E252">
        <v>2.2400000000000002</v>
      </c>
    </row>
    <row r="253" spans="1:5" hidden="1" x14ac:dyDescent="0.3">
      <c r="A253" t="s">
        <v>325</v>
      </c>
      <c r="B253" t="s">
        <v>326</v>
      </c>
      <c r="C253" s="1">
        <v>43556</v>
      </c>
      <c r="D253" t="s">
        <v>296</v>
      </c>
      <c r="E253">
        <v>2.0499999999999998</v>
      </c>
    </row>
    <row r="254" spans="1:5" hidden="1" x14ac:dyDescent="0.3">
      <c r="A254" t="s">
        <v>327</v>
      </c>
      <c r="B254" t="s">
        <v>328</v>
      </c>
      <c r="C254" s="1">
        <v>43556</v>
      </c>
      <c r="D254" t="s">
        <v>296</v>
      </c>
      <c r="E254">
        <v>2.4300000000000002</v>
      </c>
    </row>
    <row r="255" spans="1:5" x14ac:dyDescent="0.3">
      <c r="A255" t="s">
        <v>329</v>
      </c>
      <c r="B255" t="s">
        <v>330</v>
      </c>
      <c r="C255" s="1">
        <v>43556</v>
      </c>
      <c r="D255" t="s">
        <v>296</v>
      </c>
      <c r="E255">
        <v>38</v>
      </c>
    </row>
    <row r="256" spans="1:5" hidden="1" x14ac:dyDescent="0.3">
      <c r="A256" t="s">
        <v>331</v>
      </c>
      <c r="B256" t="s">
        <v>332</v>
      </c>
      <c r="C256" s="1">
        <v>43556</v>
      </c>
      <c r="D256" t="s">
        <v>296</v>
      </c>
      <c r="E256">
        <v>2.93</v>
      </c>
    </row>
    <row r="257" spans="1:5" hidden="1" x14ac:dyDescent="0.3">
      <c r="A257" t="s">
        <v>333</v>
      </c>
      <c r="B257" t="s">
        <v>334</v>
      </c>
      <c r="C257" s="1">
        <v>43556</v>
      </c>
      <c r="D257" t="s">
        <v>296</v>
      </c>
      <c r="E257">
        <v>12.84</v>
      </c>
    </row>
    <row r="258" spans="1:5" hidden="1" x14ac:dyDescent="0.3">
      <c r="A258" t="s">
        <v>335</v>
      </c>
      <c r="B258" t="s">
        <v>336</v>
      </c>
      <c r="C258" s="1">
        <v>43556</v>
      </c>
      <c r="D258" t="s">
        <v>296</v>
      </c>
      <c r="E258">
        <v>0.14000000000000001</v>
      </c>
    </row>
    <row r="259" spans="1:5" hidden="1" x14ac:dyDescent="0.3">
      <c r="A259" t="s">
        <v>337</v>
      </c>
      <c r="B259" t="s">
        <v>338</v>
      </c>
      <c r="C259" s="1">
        <v>43556</v>
      </c>
      <c r="D259" t="s">
        <v>296</v>
      </c>
      <c r="E259">
        <v>1.33</v>
      </c>
    </row>
    <row r="260" spans="1:5" hidden="1" x14ac:dyDescent="0.3">
      <c r="A260" t="s">
        <v>371</v>
      </c>
      <c r="B260" t="s">
        <v>372</v>
      </c>
      <c r="C260" s="1">
        <v>43556</v>
      </c>
      <c r="D260" t="s">
        <v>296</v>
      </c>
      <c r="E260">
        <v>-7.63</v>
      </c>
    </row>
    <row r="261" spans="1:5" hidden="1" x14ac:dyDescent="0.3">
      <c r="A261" t="s">
        <v>5</v>
      </c>
      <c r="B261" t="s">
        <v>6</v>
      </c>
      <c r="C261" s="1">
        <v>43466</v>
      </c>
      <c r="D261" t="s">
        <v>295</v>
      </c>
      <c r="E261">
        <v>1.93</v>
      </c>
    </row>
    <row r="262" spans="1:5" hidden="1" x14ac:dyDescent="0.3">
      <c r="A262" t="s">
        <v>325</v>
      </c>
      <c r="B262" t="s">
        <v>326</v>
      </c>
      <c r="C262" s="1">
        <v>43466</v>
      </c>
      <c r="D262" t="s">
        <v>295</v>
      </c>
      <c r="E262">
        <v>2.13</v>
      </c>
    </row>
    <row r="263" spans="1:5" hidden="1" x14ac:dyDescent="0.3">
      <c r="A263" t="s">
        <v>327</v>
      </c>
      <c r="B263" t="s">
        <v>328</v>
      </c>
      <c r="C263" s="1">
        <v>43466</v>
      </c>
      <c r="D263" t="s">
        <v>295</v>
      </c>
      <c r="E263">
        <v>2.76</v>
      </c>
    </row>
    <row r="264" spans="1:5" x14ac:dyDescent="0.3">
      <c r="A264" t="s">
        <v>329</v>
      </c>
      <c r="B264" t="s">
        <v>330</v>
      </c>
      <c r="C264" s="1">
        <v>43466</v>
      </c>
      <c r="D264" t="s">
        <v>295</v>
      </c>
      <c r="E264">
        <v>66.069999999999993</v>
      </c>
    </row>
    <row r="265" spans="1:5" hidden="1" x14ac:dyDescent="0.3">
      <c r="A265" t="s">
        <v>331</v>
      </c>
      <c r="B265" t="s">
        <v>332</v>
      </c>
      <c r="C265" s="1">
        <v>43466</v>
      </c>
      <c r="D265" t="s">
        <v>295</v>
      </c>
      <c r="E265">
        <v>2.2000000000000002</v>
      </c>
    </row>
    <row r="266" spans="1:5" hidden="1" x14ac:dyDescent="0.3">
      <c r="A266" t="s">
        <v>333</v>
      </c>
      <c r="B266" t="s">
        <v>334</v>
      </c>
      <c r="C266" s="1">
        <v>43466</v>
      </c>
      <c r="D266" t="s">
        <v>295</v>
      </c>
      <c r="E266">
        <v>2.65</v>
      </c>
    </row>
    <row r="267" spans="1:5" hidden="1" x14ac:dyDescent="0.3">
      <c r="A267" t="s">
        <v>335</v>
      </c>
      <c r="B267" t="s">
        <v>336</v>
      </c>
      <c r="C267" s="1">
        <v>43466</v>
      </c>
      <c r="D267" t="s">
        <v>295</v>
      </c>
      <c r="E267">
        <v>-4.51</v>
      </c>
    </row>
    <row r="268" spans="1:5" hidden="1" x14ac:dyDescent="0.3">
      <c r="A268" t="s">
        <v>337</v>
      </c>
      <c r="B268" t="s">
        <v>338</v>
      </c>
      <c r="C268" s="1">
        <v>43466</v>
      </c>
      <c r="D268" t="s">
        <v>295</v>
      </c>
      <c r="E268">
        <v>1.45</v>
      </c>
    </row>
    <row r="269" spans="1:5" hidden="1" x14ac:dyDescent="0.3">
      <c r="A269" t="s">
        <v>371</v>
      </c>
      <c r="B269" t="s">
        <v>372</v>
      </c>
      <c r="C269" s="1">
        <v>43466</v>
      </c>
      <c r="D269" t="s">
        <v>295</v>
      </c>
      <c r="E269">
        <v>-4.12</v>
      </c>
    </row>
    <row r="270" spans="1:5" hidden="1" x14ac:dyDescent="0.3">
      <c r="A270" t="s">
        <v>5</v>
      </c>
      <c r="B270" t="s">
        <v>6</v>
      </c>
      <c r="C270" s="1">
        <v>43374</v>
      </c>
      <c r="D270" t="s">
        <v>294</v>
      </c>
      <c r="E270">
        <v>2.13</v>
      </c>
    </row>
    <row r="271" spans="1:5" hidden="1" x14ac:dyDescent="0.3">
      <c r="A271" t="s">
        <v>325</v>
      </c>
      <c r="B271" t="s">
        <v>326</v>
      </c>
      <c r="C271" s="1">
        <v>43374</v>
      </c>
      <c r="D271" t="s">
        <v>294</v>
      </c>
      <c r="E271">
        <v>2.2000000000000002</v>
      </c>
    </row>
    <row r="272" spans="1:5" hidden="1" x14ac:dyDescent="0.3">
      <c r="A272" t="s">
        <v>327</v>
      </c>
      <c r="B272" t="s">
        <v>328</v>
      </c>
      <c r="C272" s="1">
        <v>43374</v>
      </c>
      <c r="D272" t="s">
        <v>294</v>
      </c>
      <c r="E272">
        <v>2.56</v>
      </c>
    </row>
    <row r="273" spans="1:5" x14ac:dyDescent="0.3">
      <c r="A273" t="s">
        <v>329</v>
      </c>
      <c r="B273" t="s">
        <v>330</v>
      </c>
      <c r="C273" s="1">
        <v>43374</v>
      </c>
      <c r="D273" t="s">
        <v>294</v>
      </c>
      <c r="E273">
        <v>84.54</v>
      </c>
    </row>
    <row r="274" spans="1:5" hidden="1" x14ac:dyDescent="0.3">
      <c r="A274" t="s">
        <v>331</v>
      </c>
      <c r="B274" t="s">
        <v>332</v>
      </c>
      <c r="C274" s="1">
        <v>43374</v>
      </c>
      <c r="D274" t="s">
        <v>294</v>
      </c>
      <c r="E274">
        <v>3.04</v>
      </c>
    </row>
    <row r="275" spans="1:5" hidden="1" x14ac:dyDescent="0.3">
      <c r="A275" t="s">
        <v>333</v>
      </c>
      <c r="B275" t="s">
        <v>334</v>
      </c>
      <c r="C275" s="1">
        <v>43374</v>
      </c>
      <c r="D275" t="s">
        <v>294</v>
      </c>
      <c r="E275">
        <v>16.02</v>
      </c>
    </row>
    <row r="276" spans="1:5" hidden="1" x14ac:dyDescent="0.3">
      <c r="A276" t="s">
        <v>335</v>
      </c>
      <c r="B276" t="s">
        <v>336</v>
      </c>
      <c r="C276" s="1">
        <v>43374</v>
      </c>
      <c r="D276" t="s">
        <v>294</v>
      </c>
      <c r="E276">
        <v>-0.24</v>
      </c>
    </row>
    <row r="277" spans="1:5" hidden="1" x14ac:dyDescent="0.3">
      <c r="A277" t="s">
        <v>337</v>
      </c>
      <c r="B277" t="s">
        <v>338</v>
      </c>
      <c r="C277" s="1">
        <v>43374</v>
      </c>
      <c r="D277" t="s">
        <v>294</v>
      </c>
      <c r="E277">
        <v>1.56</v>
      </c>
    </row>
    <row r="278" spans="1:5" hidden="1" x14ac:dyDescent="0.3">
      <c r="A278" t="s">
        <v>371</v>
      </c>
      <c r="B278" t="s">
        <v>372</v>
      </c>
      <c r="C278" s="1">
        <v>43374</v>
      </c>
      <c r="D278" t="s">
        <v>294</v>
      </c>
      <c r="E278">
        <v>-8.02</v>
      </c>
    </row>
    <row r="279" spans="1:5" hidden="1" x14ac:dyDescent="0.3">
      <c r="A279" t="s">
        <v>5</v>
      </c>
      <c r="B279" t="s">
        <v>6</v>
      </c>
      <c r="C279" s="1">
        <v>43282</v>
      </c>
      <c r="D279" t="s">
        <v>293</v>
      </c>
      <c r="E279">
        <v>3.13</v>
      </c>
    </row>
    <row r="280" spans="1:5" hidden="1" x14ac:dyDescent="0.3">
      <c r="A280" t="s">
        <v>325</v>
      </c>
      <c r="B280" t="s">
        <v>326</v>
      </c>
      <c r="C280" s="1">
        <v>43282</v>
      </c>
      <c r="D280" t="s">
        <v>293</v>
      </c>
      <c r="E280">
        <v>2.2000000000000002</v>
      </c>
    </row>
    <row r="281" spans="1:5" hidden="1" x14ac:dyDescent="0.3">
      <c r="A281" t="s">
        <v>327</v>
      </c>
      <c r="B281" t="s">
        <v>328</v>
      </c>
      <c r="C281" s="1">
        <v>43282</v>
      </c>
      <c r="D281" t="s">
        <v>293</v>
      </c>
      <c r="E281">
        <v>2.5299999999999998</v>
      </c>
    </row>
    <row r="282" spans="1:5" x14ac:dyDescent="0.3">
      <c r="A282" t="s">
        <v>329</v>
      </c>
      <c r="B282" t="s">
        <v>330</v>
      </c>
      <c r="C282" s="1">
        <v>43282</v>
      </c>
      <c r="D282" t="s">
        <v>293</v>
      </c>
      <c r="E282">
        <v>66.78</v>
      </c>
    </row>
    <row r="283" spans="1:5" hidden="1" x14ac:dyDescent="0.3">
      <c r="A283" t="s">
        <v>331</v>
      </c>
      <c r="B283" t="s">
        <v>332</v>
      </c>
      <c r="C283" s="1">
        <v>43282</v>
      </c>
      <c r="D283" t="s">
        <v>293</v>
      </c>
      <c r="E283">
        <v>5.07</v>
      </c>
    </row>
    <row r="284" spans="1:5" hidden="1" x14ac:dyDescent="0.3">
      <c r="A284" t="s">
        <v>333</v>
      </c>
      <c r="B284" t="s">
        <v>334</v>
      </c>
      <c r="C284" s="1">
        <v>43282</v>
      </c>
      <c r="D284" t="s">
        <v>293</v>
      </c>
      <c r="E284">
        <v>18.88</v>
      </c>
    </row>
    <row r="285" spans="1:5" hidden="1" x14ac:dyDescent="0.3">
      <c r="A285" t="s">
        <v>335</v>
      </c>
      <c r="B285" t="s">
        <v>336</v>
      </c>
      <c r="C285" s="1">
        <v>43282</v>
      </c>
      <c r="D285" t="s">
        <v>293</v>
      </c>
      <c r="E285">
        <v>3.12</v>
      </c>
    </row>
    <row r="286" spans="1:5" hidden="1" x14ac:dyDescent="0.3">
      <c r="A286" t="s">
        <v>337</v>
      </c>
      <c r="B286" t="s">
        <v>338</v>
      </c>
      <c r="C286" s="1">
        <v>43282</v>
      </c>
      <c r="D286" t="s">
        <v>293</v>
      </c>
      <c r="E286">
        <v>1.58</v>
      </c>
    </row>
    <row r="287" spans="1:5" hidden="1" x14ac:dyDescent="0.3">
      <c r="A287" t="s">
        <v>371</v>
      </c>
      <c r="B287" t="s">
        <v>372</v>
      </c>
      <c r="C287" s="1">
        <v>43282</v>
      </c>
      <c r="D287" t="s">
        <v>293</v>
      </c>
      <c r="E287">
        <v>-13.06</v>
      </c>
    </row>
    <row r="288" spans="1:5" hidden="1" x14ac:dyDescent="0.3">
      <c r="A288" t="s">
        <v>5</v>
      </c>
      <c r="B288" t="s">
        <v>6</v>
      </c>
      <c r="C288" s="1">
        <v>43191</v>
      </c>
      <c r="D288" t="s">
        <v>292</v>
      </c>
      <c r="E288">
        <v>3.3</v>
      </c>
    </row>
    <row r="289" spans="1:5" hidden="1" x14ac:dyDescent="0.3">
      <c r="A289" t="s">
        <v>325</v>
      </c>
      <c r="B289" t="s">
        <v>326</v>
      </c>
      <c r="C289" s="1">
        <v>43191</v>
      </c>
      <c r="D289" t="s">
        <v>292</v>
      </c>
      <c r="E289">
        <v>2.2200000000000002</v>
      </c>
    </row>
    <row r="290" spans="1:5" hidden="1" x14ac:dyDescent="0.3">
      <c r="A290" t="s">
        <v>327</v>
      </c>
      <c r="B290" t="s">
        <v>328</v>
      </c>
      <c r="C290" s="1">
        <v>43191</v>
      </c>
      <c r="D290" t="s">
        <v>292</v>
      </c>
      <c r="E290">
        <v>2.0299999999999998</v>
      </c>
    </row>
    <row r="291" spans="1:5" x14ac:dyDescent="0.3">
      <c r="A291" t="s">
        <v>329</v>
      </c>
      <c r="B291" t="s">
        <v>330</v>
      </c>
      <c r="C291" s="1">
        <v>43191</v>
      </c>
      <c r="D291" t="s">
        <v>292</v>
      </c>
      <c r="E291">
        <v>82.84</v>
      </c>
    </row>
    <row r="292" spans="1:5" hidden="1" x14ac:dyDescent="0.3">
      <c r="A292" t="s">
        <v>331</v>
      </c>
      <c r="B292" t="s">
        <v>332</v>
      </c>
      <c r="C292" s="1">
        <v>43191</v>
      </c>
      <c r="D292" t="s">
        <v>292</v>
      </c>
      <c r="E292">
        <v>5.25</v>
      </c>
    </row>
    <row r="293" spans="1:5" hidden="1" x14ac:dyDescent="0.3">
      <c r="A293" t="s">
        <v>333</v>
      </c>
      <c r="B293" t="s">
        <v>334</v>
      </c>
      <c r="C293" s="1">
        <v>43191</v>
      </c>
      <c r="D293" t="s">
        <v>292</v>
      </c>
      <c r="E293">
        <v>1</v>
      </c>
    </row>
    <row r="294" spans="1:5" hidden="1" x14ac:dyDescent="0.3">
      <c r="A294" t="s">
        <v>335</v>
      </c>
      <c r="B294" t="s">
        <v>336</v>
      </c>
      <c r="C294" s="1">
        <v>43191</v>
      </c>
      <c r="D294" t="s">
        <v>292</v>
      </c>
      <c r="E294">
        <v>2.04</v>
      </c>
    </row>
    <row r="295" spans="1:5" hidden="1" x14ac:dyDescent="0.3">
      <c r="A295" t="s">
        <v>337</v>
      </c>
      <c r="B295" t="s">
        <v>338</v>
      </c>
      <c r="C295" s="1">
        <v>43191</v>
      </c>
      <c r="D295" t="s">
        <v>292</v>
      </c>
      <c r="E295">
        <v>1.59</v>
      </c>
    </row>
    <row r="296" spans="1:5" hidden="1" x14ac:dyDescent="0.3">
      <c r="A296" t="s">
        <v>371</v>
      </c>
      <c r="B296" t="s">
        <v>372</v>
      </c>
      <c r="C296" s="1">
        <v>43191</v>
      </c>
      <c r="D296" t="s">
        <v>292</v>
      </c>
      <c r="E296">
        <v>-9.94</v>
      </c>
    </row>
    <row r="297" spans="1:5" hidden="1" x14ac:dyDescent="0.3">
      <c r="A297" t="s">
        <v>5</v>
      </c>
      <c r="B297" t="s">
        <v>6</v>
      </c>
      <c r="C297" s="1">
        <v>43101</v>
      </c>
      <c r="D297" t="s">
        <v>291</v>
      </c>
      <c r="E297">
        <v>3.33</v>
      </c>
    </row>
    <row r="298" spans="1:5" hidden="1" x14ac:dyDescent="0.3">
      <c r="A298" t="s">
        <v>325</v>
      </c>
      <c r="B298" t="s">
        <v>326</v>
      </c>
      <c r="C298" s="1">
        <v>43101</v>
      </c>
      <c r="D298" t="s">
        <v>291</v>
      </c>
      <c r="E298">
        <v>1.96</v>
      </c>
    </row>
    <row r="299" spans="1:5" hidden="1" x14ac:dyDescent="0.3">
      <c r="A299" t="s">
        <v>327</v>
      </c>
      <c r="B299" t="s">
        <v>328</v>
      </c>
      <c r="C299" s="1">
        <v>43101</v>
      </c>
      <c r="D299" t="s">
        <v>291</v>
      </c>
      <c r="E299">
        <v>1.99</v>
      </c>
    </row>
    <row r="300" spans="1:5" x14ac:dyDescent="0.3">
      <c r="A300" t="s">
        <v>329</v>
      </c>
      <c r="B300" t="s">
        <v>330</v>
      </c>
      <c r="C300" s="1">
        <v>43101</v>
      </c>
      <c r="D300" t="s">
        <v>291</v>
      </c>
      <c r="E300">
        <v>106.71</v>
      </c>
    </row>
    <row r="301" spans="1:5" hidden="1" x14ac:dyDescent="0.3">
      <c r="A301" t="s">
        <v>331</v>
      </c>
      <c r="B301" t="s">
        <v>332</v>
      </c>
      <c r="C301" s="1">
        <v>43101</v>
      </c>
      <c r="D301" t="s">
        <v>291</v>
      </c>
      <c r="E301">
        <v>4.1100000000000003</v>
      </c>
    </row>
    <row r="302" spans="1:5" hidden="1" x14ac:dyDescent="0.3">
      <c r="A302" t="s">
        <v>333</v>
      </c>
      <c r="B302" t="s">
        <v>334</v>
      </c>
      <c r="C302" s="1">
        <v>43101</v>
      </c>
      <c r="D302" t="s">
        <v>291</v>
      </c>
      <c r="E302">
        <v>11.96</v>
      </c>
    </row>
    <row r="303" spans="1:5" hidden="1" x14ac:dyDescent="0.3">
      <c r="A303" t="s">
        <v>335</v>
      </c>
      <c r="B303" t="s">
        <v>336</v>
      </c>
      <c r="C303" s="1">
        <v>43101</v>
      </c>
      <c r="D303" t="s">
        <v>291</v>
      </c>
      <c r="E303">
        <v>1.75</v>
      </c>
    </row>
    <row r="304" spans="1:5" hidden="1" x14ac:dyDescent="0.3">
      <c r="A304" t="s">
        <v>337</v>
      </c>
      <c r="B304" t="s">
        <v>338</v>
      </c>
      <c r="C304" s="1">
        <v>43101</v>
      </c>
      <c r="D304" t="s">
        <v>291</v>
      </c>
      <c r="E304">
        <v>1.5</v>
      </c>
    </row>
    <row r="305" spans="1:5" hidden="1" x14ac:dyDescent="0.3">
      <c r="A305" t="s">
        <v>371</v>
      </c>
      <c r="B305" t="s">
        <v>372</v>
      </c>
      <c r="C305" s="1">
        <v>43101</v>
      </c>
      <c r="D305" t="s">
        <v>291</v>
      </c>
      <c r="E305">
        <v>-11.69</v>
      </c>
    </row>
    <row r="306" spans="1:5" hidden="1" x14ac:dyDescent="0.3">
      <c r="A306" t="s">
        <v>5</v>
      </c>
      <c r="B306" t="s">
        <v>6</v>
      </c>
      <c r="C306" s="1">
        <v>43009</v>
      </c>
      <c r="D306" t="s">
        <v>290</v>
      </c>
      <c r="E306">
        <v>2.99</v>
      </c>
    </row>
    <row r="307" spans="1:5" hidden="1" x14ac:dyDescent="0.3">
      <c r="A307" t="s">
        <v>325</v>
      </c>
      <c r="B307" t="s">
        <v>326</v>
      </c>
      <c r="C307" s="1">
        <v>43009</v>
      </c>
      <c r="D307" t="s">
        <v>290</v>
      </c>
      <c r="E307">
        <v>1.76</v>
      </c>
    </row>
    <row r="308" spans="1:5" hidden="1" x14ac:dyDescent="0.3">
      <c r="A308" t="s">
        <v>327</v>
      </c>
      <c r="B308" t="s">
        <v>328</v>
      </c>
      <c r="C308" s="1">
        <v>43009</v>
      </c>
      <c r="D308" t="s">
        <v>290</v>
      </c>
      <c r="E308">
        <v>2.04</v>
      </c>
    </row>
    <row r="309" spans="1:5" x14ac:dyDescent="0.3">
      <c r="A309" t="s">
        <v>329</v>
      </c>
      <c r="B309" t="s">
        <v>330</v>
      </c>
      <c r="C309" s="1">
        <v>43009</v>
      </c>
      <c r="D309" t="s">
        <v>290</v>
      </c>
      <c r="E309">
        <v>167.33</v>
      </c>
    </row>
    <row r="310" spans="1:5" hidden="1" x14ac:dyDescent="0.3">
      <c r="A310" t="s">
        <v>331</v>
      </c>
      <c r="B310" t="s">
        <v>332</v>
      </c>
      <c r="C310" s="1">
        <v>43009</v>
      </c>
      <c r="D310" t="s">
        <v>290</v>
      </c>
      <c r="E310">
        <v>5.38</v>
      </c>
    </row>
    <row r="311" spans="1:5" hidden="1" x14ac:dyDescent="0.3">
      <c r="A311" t="s">
        <v>333</v>
      </c>
      <c r="B311" t="s">
        <v>334</v>
      </c>
      <c r="C311" s="1">
        <v>43009</v>
      </c>
      <c r="D311" t="s">
        <v>290</v>
      </c>
      <c r="E311">
        <v>8.27</v>
      </c>
    </row>
    <row r="312" spans="1:5" hidden="1" x14ac:dyDescent="0.3">
      <c r="A312" t="s">
        <v>335</v>
      </c>
      <c r="B312" t="s">
        <v>336</v>
      </c>
      <c r="C312" s="1">
        <v>43009</v>
      </c>
      <c r="D312" t="s">
        <v>290</v>
      </c>
      <c r="E312">
        <v>5.69</v>
      </c>
    </row>
    <row r="313" spans="1:5" hidden="1" x14ac:dyDescent="0.3">
      <c r="A313" t="s">
        <v>337</v>
      </c>
      <c r="B313" t="s">
        <v>338</v>
      </c>
      <c r="C313" s="1">
        <v>43009</v>
      </c>
      <c r="D313" t="s">
        <v>290</v>
      </c>
      <c r="E313">
        <v>1.47</v>
      </c>
    </row>
    <row r="314" spans="1:5" hidden="1" x14ac:dyDescent="0.3">
      <c r="A314" t="s">
        <v>371</v>
      </c>
      <c r="B314" t="s">
        <v>372</v>
      </c>
      <c r="C314" s="1">
        <v>43009</v>
      </c>
      <c r="D314" t="s">
        <v>290</v>
      </c>
      <c r="E314">
        <v>-12.59</v>
      </c>
    </row>
    <row r="315" spans="1:5" hidden="1" x14ac:dyDescent="0.3">
      <c r="A315" t="s">
        <v>5</v>
      </c>
      <c r="B315" t="s">
        <v>6</v>
      </c>
      <c r="C315" s="1">
        <v>42917</v>
      </c>
      <c r="D315" t="s">
        <v>289</v>
      </c>
      <c r="E315">
        <v>2.41</v>
      </c>
    </row>
    <row r="316" spans="1:5" hidden="1" x14ac:dyDescent="0.3">
      <c r="A316" t="s">
        <v>325</v>
      </c>
      <c r="B316" t="s">
        <v>326</v>
      </c>
      <c r="C316" s="1">
        <v>42917</v>
      </c>
      <c r="D316" t="s">
        <v>289</v>
      </c>
      <c r="E316">
        <v>1.64</v>
      </c>
    </row>
    <row r="317" spans="1:5" hidden="1" x14ac:dyDescent="0.3">
      <c r="A317" t="s">
        <v>327</v>
      </c>
      <c r="B317" t="s">
        <v>328</v>
      </c>
      <c r="C317" s="1">
        <v>42917</v>
      </c>
      <c r="D317" t="s">
        <v>289</v>
      </c>
      <c r="E317">
        <v>1.74</v>
      </c>
    </row>
    <row r="318" spans="1:5" x14ac:dyDescent="0.3">
      <c r="A318" t="s">
        <v>329</v>
      </c>
      <c r="B318" t="s">
        <v>330</v>
      </c>
      <c r="C318" s="1">
        <v>42917</v>
      </c>
      <c r="D318" t="s">
        <v>289</v>
      </c>
      <c r="E318">
        <v>190.43</v>
      </c>
    </row>
    <row r="319" spans="1:5" hidden="1" x14ac:dyDescent="0.3">
      <c r="A319" t="s">
        <v>331</v>
      </c>
      <c r="B319" t="s">
        <v>332</v>
      </c>
      <c r="C319" s="1">
        <v>42917</v>
      </c>
      <c r="D319" t="s">
        <v>289</v>
      </c>
      <c r="E319">
        <v>3.99</v>
      </c>
    </row>
    <row r="320" spans="1:5" hidden="1" x14ac:dyDescent="0.3">
      <c r="A320" t="s">
        <v>333</v>
      </c>
      <c r="B320" t="s">
        <v>334</v>
      </c>
      <c r="C320" s="1">
        <v>42917</v>
      </c>
      <c r="D320" t="s">
        <v>289</v>
      </c>
      <c r="E320">
        <v>7.99</v>
      </c>
    </row>
    <row r="321" spans="1:5" hidden="1" x14ac:dyDescent="0.3">
      <c r="A321" t="s">
        <v>335</v>
      </c>
      <c r="B321" t="s">
        <v>336</v>
      </c>
      <c r="C321" s="1">
        <v>42917</v>
      </c>
      <c r="D321" t="s">
        <v>289</v>
      </c>
      <c r="E321">
        <v>5.28</v>
      </c>
    </row>
    <row r="322" spans="1:5" hidden="1" x14ac:dyDescent="0.3">
      <c r="A322" t="s">
        <v>337</v>
      </c>
      <c r="B322" t="s">
        <v>338</v>
      </c>
      <c r="C322" s="1">
        <v>42917</v>
      </c>
      <c r="D322" t="s">
        <v>289</v>
      </c>
      <c r="E322">
        <v>1.51</v>
      </c>
    </row>
    <row r="323" spans="1:5" hidden="1" x14ac:dyDescent="0.3">
      <c r="A323" t="s">
        <v>371</v>
      </c>
      <c r="B323" t="s">
        <v>372</v>
      </c>
      <c r="C323" s="1">
        <v>42917</v>
      </c>
      <c r="D323" t="s">
        <v>289</v>
      </c>
      <c r="E323">
        <v>-11.57</v>
      </c>
    </row>
    <row r="324" spans="1:5" hidden="1" x14ac:dyDescent="0.3">
      <c r="A324" t="s">
        <v>5</v>
      </c>
      <c r="B324" t="s">
        <v>6</v>
      </c>
      <c r="C324" s="1">
        <v>42826</v>
      </c>
      <c r="D324" t="s">
        <v>288</v>
      </c>
      <c r="E324">
        <v>2.33</v>
      </c>
    </row>
    <row r="325" spans="1:5" hidden="1" x14ac:dyDescent="0.3">
      <c r="A325" t="s">
        <v>325</v>
      </c>
      <c r="B325" t="s">
        <v>326</v>
      </c>
      <c r="C325" s="1">
        <v>42826</v>
      </c>
      <c r="D325" t="s">
        <v>288</v>
      </c>
      <c r="E325">
        <v>1.78</v>
      </c>
    </row>
    <row r="326" spans="1:5" hidden="1" x14ac:dyDescent="0.3">
      <c r="A326" t="s">
        <v>327</v>
      </c>
      <c r="B326" t="s">
        <v>328</v>
      </c>
      <c r="C326" s="1">
        <v>42826</v>
      </c>
      <c r="D326" t="s">
        <v>288</v>
      </c>
      <c r="E326">
        <v>1.88</v>
      </c>
    </row>
    <row r="327" spans="1:5" x14ac:dyDescent="0.3">
      <c r="A327" t="s">
        <v>329</v>
      </c>
      <c r="B327" t="s">
        <v>330</v>
      </c>
      <c r="C327" s="1">
        <v>42826</v>
      </c>
      <c r="D327" t="s">
        <v>288</v>
      </c>
      <c r="E327">
        <v>154.69</v>
      </c>
    </row>
    <row r="328" spans="1:5" hidden="1" x14ac:dyDescent="0.3">
      <c r="A328" t="s">
        <v>331</v>
      </c>
      <c r="B328" t="s">
        <v>332</v>
      </c>
      <c r="C328" s="1">
        <v>42826</v>
      </c>
      <c r="D328" t="s">
        <v>288</v>
      </c>
      <c r="E328">
        <v>3.97</v>
      </c>
    </row>
    <row r="329" spans="1:5" hidden="1" x14ac:dyDescent="0.3">
      <c r="A329" t="s">
        <v>333</v>
      </c>
      <c r="B329" t="s">
        <v>334</v>
      </c>
      <c r="C329" s="1">
        <v>42826</v>
      </c>
      <c r="D329" t="s">
        <v>288</v>
      </c>
      <c r="E329">
        <v>10.84</v>
      </c>
    </row>
    <row r="330" spans="1:5" hidden="1" x14ac:dyDescent="0.3">
      <c r="A330" t="s">
        <v>335</v>
      </c>
      <c r="B330" t="s">
        <v>336</v>
      </c>
      <c r="C330" s="1">
        <v>42826</v>
      </c>
      <c r="D330" t="s">
        <v>288</v>
      </c>
      <c r="E330">
        <v>4.29</v>
      </c>
    </row>
    <row r="331" spans="1:5" hidden="1" x14ac:dyDescent="0.3">
      <c r="A331" t="s">
        <v>337</v>
      </c>
      <c r="B331" t="s">
        <v>338</v>
      </c>
      <c r="C331" s="1">
        <v>42826</v>
      </c>
      <c r="D331" t="s">
        <v>288</v>
      </c>
      <c r="E331">
        <v>1.68</v>
      </c>
    </row>
    <row r="332" spans="1:5" hidden="1" x14ac:dyDescent="0.3">
      <c r="A332" t="s">
        <v>371</v>
      </c>
      <c r="B332" t="s">
        <v>372</v>
      </c>
      <c r="C332" s="1">
        <v>42826</v>
      </c>
      <c r="D332" t="s">
        <v>288</v>
      </c>
      <c r="E332">
        <v>-11.47</v>
      </c>
    </row>
    <row r="333" spans="1:5" hidden="1" x14ac:dyDescent="0.3">
      <c r="A333" t="s">
        <v>5</v>
      </c>
      <c r="B333" t="s">
        <v>6</v>
      </c>
      <c r="C333" s="1">
        <v>42736</v>
      </c>
      <c r="D333" t="s">
        <v>287</v>
      </c>
      <c r="E333">
        <v>2.09</v>
      </c>
    </row>
    <row r="334" spans="1:5" hidden="1" x14ac:dyDescent="0.3">
      <c r="A334" t="s">
        <v>325</v>
      </c>
      <c r="B334" t="s">
        <v>326</v>
      </c>
      <c r="C334" s="1">
        <v>42736</v>
      </c>
      <c r="D334" t="s">
        <v>287</v>
      </c>
      <c r="E334">
        <v>2.1800000000000002</v>
      </c>
    </row>
    <row r="335" spans="1:5" hidden="1" x14ac:dyDescent="0.3">
      <c r="A335" t="s">
        <v>327</v>
      </c>
      <c r="B335" t="s">
        <v>328</v>
      </c>
      <c r="C335" s="1">
        <v>42736</v>
      </c>
      <c r="D335" t="s">
        <v>287</v>
      </c>
      <c r="E335">
        <v>1.75</v>
      </c>
    </row>
    <row r="336" spans="1:5" x14ac:dyDescent="0.3">
      <c r="A336" t="s">
        <v>329</v>
      </c>
      <c r="B336" t="s">
        <v>330</v>
      </c>
      <c r="C336" s="1">
        <v>42736</v>
      </c>
      <c r="D336" t="s">
        <v>287</v>
      </c>
      <c r="E336">
        <v>94.44</v>
      </c>
    </row>
    <row r="337" spans="1:5" hidden="1" x14ac:dyDescent="0.3">
      <c r="A337" t="s">
        <v>331</v>
      </c>
      <c r="B337" t="s">
        <v>332</v>
      </c>
      <c r="C337" s="1">
        <v>42736</v>
      </c>
      <c r="D337" t="s">
        <v>287</v>
      </c>
      <c r="E337">
        <v>5.13</v>
      </c>
    </row>
    <row r="338" spans="1:5" hidden="1" x14ac:dyDescent="0.3">
      <c r="A338" t="s">
        <v>333</v>
      </c>
      <c r="B338" t="s">
        <v>334</v>
      </c>
      <c r="C338" s="1">
        <v>42736</v>
      </c>
      <c r="D338" t="s">
        <v>287</v>
      </c>
      <c r="E338">
        <v>3.43</v>
      </c>
    </row>
    <row r="339" spans="1:5" hidden="1" x14ac:dyDescent="0.3">
      <c r="A339" t="s">
        <v>335</v>
      </c>
      <c r="B339" t="s">
        <v>336</v>
      </c>
      <c r="C339" s="1">
        <v>42736</v>
      </c>
      <c r="D339" t="s">
        <v>287</v>
      </c>
      <c r="E339">
        <v>6.19</v>
      </c>
    </row>
    <row r="340" spans="1:5" hidden="1" x14ac:dyDescent="0.3">
      <c r="A340" t="s">
        <v>337</v>
      </c>
      <c r="B340" t="s">
        <v>338</v>
      </c>
      <c r="C340" s="1">
        <v>42736</v>
      </c>
      <c r="D340" t="s">
        <v>287</v>
      </c>
      <c r="E340">
        <v>1.67</v>
      </c>
    </row>
    <row r="341" spans="1:5" hidden="1" x14ac:dyDescent="0.3">
      <c r="A341" t="s">
        <v>371</v>
      </c>
      <c r="B341" t="s">
        <v>372</v>
      </c>
      <c r="C341" s="1">
        <v>42736</v>
      </c>
      <c r="D341" t="s">
        <v>287</v>
      </c>
      <c r="E341">
        <v>-6.8</v>
      </c>
    </row>
    <row r="342" spans="1:5" hidden="1" x14ac:dyDescent="0.3">
      <c r="A342" t="s">
        <v>5</v>
      </c>
      <c r="B342" t="s">
        <v>6</v>
      </c>
      <c r="C342" s="1">
        <v>42644</v>
      </c>
      <c r="D342" t="s">
        <v>286</v>
      </c>
      <c r="E342">
        <v>2.1800000000000002</v>
      </c>
    </row>
    <row r="343" spans="1:5" hidden="1" x14ac:dyDescent="0.3">
      <c r="A343" t="s">
        <v>325</v>
      </c>
      <c r="B343" t="s">
        <v>326</v>
      </c>
      <c r="C343" s="1">
        <v>42644</v>
      </c>
      <c r="D343" t="s">
        <v>286</v>
      </c>
      <c r="E343">
        <v>2.1800000000000002</v>
      </c>
    </row>
    <row r="344" spans="1:5" hidden="1" x14ac:dyDescent="0.3">
      <c r="A344" t="s">
        <v>327</v>
      </c>
      <c r="B344" t="s">
        <v>328</v>
      </c>
      <c r="C344" s="1">
        <v>42644</v>
      </c>
      <c r="D344" t="s">
        <v>286</v>
      </c>
      <c r="E344">
        <v>1.62</v>
      </c>
    </row>
    <row r="345" spans="1:5" x14ac:dyDescent="0.3">
      <c r="A345" t="s">
        <v>329</v>
      </c>
      <c r="B345" t="s">
        <v>330</v>
      </c>
      <c r="C345" s="1">
        <v>42644</v>
      </c>
      <c r="D345" t="s">
        <v>286</v>
      </c>
      <c r="E345">
        <v>181.25</v>
      </c>
    </row>
    <row r="346" spans="1:5" hidden="1" x14ac:dyDescent="0.3">
      <c r="A346" t="s">
        <v>331</v>
      </c>
      <c r="B346" t="s">
        <v>332</v>
      </c>
      <c r="C346" s="1">
        <v>42644</v>
      </c>
      <c r="D346" t="s">
        <v>286</v>
      </c>
      <c r="E346">
        <v>3.47</v>
      </c>
    </row>
    <row r="347" spans="1:5" hidden="1" x14ac:dyDescent="0.3">
      <c r="A347" t="s">
        <v>333</v>
      </c>
      <c r="B347" t="s">
        <v>334</v>
      </c>
      <c r="C347" s="1">
        <v>42644</v>
      </c>
      <c r="D347" t="s">
        <v>286</v>
      </c>
      <c r="E347">
        <v>2.81</v>
      </c>
    </row>
    <row r="348" spans="1:5" hidden="1" x14ac:dyDescent="0.3">
      <c r="A348" t="s">
        <v>335</v>
      </c>
      <c r="B348" t="s">
        <v>336</v>
      </c>
      <c r="C348" s="1">
        <v>42644</v>
      </c>
      <c r="D348" t="s">
        <v>286</v>
      </c>
      <c r="E348">
        <v>1.94</v>
      </c>
    </row>
    <row r="349" spans="1:5" hidden="1" x14ac:dyDescent="0.3">
      <c r="A349" t="s">
        <v>337</v>
      </c>
      <c r="B349" t="s">
        <v>338</v>
      </c>
      <c r="C349" s="1">
        <v>42644</v>
      </c>
      <c r="D349" t="s">
        <v>286</v>
      </c>
      <c r="E349">
        <v>1.68</v>
      </c>
    </row>
    <row r="350" spans="1:5" hidden="1" x14ac:dyDescent="0.3">
      <c r="A350" t="s">
        <v>371</v>
      </c>
      <c r="B350" t="s">
        <v>372</v>
      </c>
      <c r="C350" s="1">
        <v>42644</v>
      </c>
      <c r="D350" t="s">
        <v>286</v>
      </c>
      <c r="E350">
        <v>-5.29</v>
      </c>
    </row>
    <row r="351" spans="1:5" hidden="1" x14ac:dyDescent="0.3">
      <c r="A351" t="s">
        <v>5</v>
      </c>
      <c r="B351" t="s">
        <v>6</v>
      </c>
      <c r="C351" s="1">
        <v>42552</v>
      </c>
      <c r="D351" t="s">
        <v>285</v>
      </c>
      <c r="E351">
        <v>1.81</v>
      </c>
    </row>
    <row r="352" spans="1:5" hidden="1" x14ac:dyDescent="0.3">
      <c r="A352" t="s">
        <v>325</v>
      </c>
      <c r="B352" t="s">
        <v>326</v>
      </c>
      <c r="C352" s="1">
        <v>42552</v>
      </c>
      <c r="D352" t="s">
        <v>285</v>
      </c>
      <c r="E352">
        <v>2.25</v>
      </c>
    </row>
    <row r="353" spans="1:5" hidden="1" x14ac:dyDescent="0.3">
      <c r="A353" t="s">
        <v>327</v>
      </c>
      <c r="B353" t="s">
        <v>328</v>
      </c>
      <c r="C353" s="1">
        <v>42552</v>
      </c>
      <c r="D353" t="s">
        <v>285</v>
      </c>
      <c r="E353">
        <v>1.31</v>
      </c>
    </row>
    <row r="354" spans="1:5" x14ac:dyDescent="0.3">
      <c r="A354" t="s">
        <v>329</v>
      </c>
      <c r="B354" t="s">
        <v>330</v>
      </c>
      <c r="C354" s="1">
        <v>42552</v>
      </c>
      <c r="D354" t="s">
        <v>285</v>
      </c>
      <c r="E354">
        <v>189.78</v>
      </c>
    </row>
    <row r="355" spans="1:5" hidden="1" x14ac:dyDescent="0.3">
      <c r="A355" t="s">
        <v>331</v>
      </c>
      <c r="B355" t="s">
        <v>332</v>
      </c>
      <c r="C355" s="1">
        <v>42552</v>
      </c>
      <c r="D355" t="s">
        <v>285</v>
      </c>
      <c r="E355">
        <v>2.2000000000000002</v>
      </c>
    </row>
    <row r="356" spans="1:5" hidden="1" x14ac:dyDescent="0.3">
      <c r="A356" t="s">
        <v>333</v>
      </c>
      <c r="B356" t="s">
        <v>334</v>
      </c>
      <c r="C356" s="1">
        <v>42552</v>
      </c>
      <c r="D356" t="s">
        <v>285</v>
      </c>
      <c r="E356">
        <v>-7.83</v>
      </c>
    </row>
    <row r="357" spans="1:5" hidden="1" x14ac:dyDescent="0.3">
      <c r="A357" t="s">
        <v>335</v>
      </c>
      <c r="B357" t="s">
        <v>336</v>
      </c>
      <c r="C357" s="1">
        <v>42552</v>
      </c>
      <c r="D357" t="s">
        <v>285</v>
      </c>
      <c r="E357">
        <v>-0.44</v>
      </c>
    </row>
    <row r="358" spans="1:5" hidden="1" x14ac:dyDescent="0.3">
      <c r="A358" t="s">
        <v>337</v>
      </c>
      <c r="B358" t="s">
        <v>338</v>
      </c>
      <c r="C358" s="1">
        <v>42552</v>
      </c>
      <c r="D358" t="s">
        <v>285</v>
      </c>
      <c r="E358">
        <v>1.82</v>
      </c>
    </row>
    <row r="359" spans="1:5" hidden="1" x14ac:dyDescent="0.3">
      <c r="A359" t="s">
        <v>371</v>
      </c>
      <c r="B359" t="s">
        <v>372</v>
      </c>
      <c r="C359" s="1">
        <v>42552</v>
      </c>
      <c r="D359" t="s">
        <v>285</v>
      </c>
      <c r="E359">
        <v>-3.92</v>
      </c>
    </row>
    <row r="360" spans="1:5" hidden="1" x14ac:dyDescent="0.3">
      <c r="A360" t="s">
        <v>5</v>
      </c>
      <c r="B360" t="s">
        <v>6</v>
      </c>
      <c r="C360" s="1">
        <v>42461</v>
      </c>
      <c r="D360" t="s">
        <v>284</v>
      </c>
      <c r="E360">
        <v>1.49</v>
      </c>
    </row>
    <row r="361" spans="1:5" hidden="1" x14ac:dyDescent="0.3">
      <c r="A361" t="s">
        <v>325</v>
      </c>
      <c r="B361" t="s">
        <v>326</v>
      </c>
      <c r="C361" s="1">
        <v>42461</v>
      </c>
      <c r="D361" t="s">
        <v>284</v>
      </c>
      <c r="E361">
        <v>2.2200000000000002</v>
      </c>
    </row>
    <row r="362" spans="1:5" hidden="1" x14ac:dyDescent="0.3">
      <c r="A362" t="s">
        <v>327</v>
      </c>
      <c r="B362" t="s">
        <v>328</v>
      </c>
      <c r="C362" s="1">
        <v>42461</v>
      </c>
      <c r="D362" t="s">
        <v>284</v>
      </c>
      <c r="E362">
        <v>1.53</v>
      </c>
    </row>
    <row r="363" spans="1:5" x14ac:dyDescent="0.3">
      <c r="A363" t="s">
        <v>329</v>
      </c>
      <c r="B363" t="s">
        <v>330</v>
      </c>
      <c r="C363" s="1">
        <v>42461</v>
      </c>
      <c r="D363" t="s">
        <v>284</v>
      </c>
      <c r="E363">
        <v>203.25</v>
      </c>
    </row>
    <row r="364" spans="1:5" hidden="1" x14ac:dyDescent="0.3">
      <c r="A364" t="s">
        <v>331</v>
      </c>
      <c r="B364" t="s">
        <v>332</v>
      </c>
      <c r="C364" s="1">
        <v>42461</v>
      </c>
      <c r="D364" t="s">
        <v>284</v>
      </c>
      <c r="E364">
        <v>2.27</v>
      </c>
    </row>
    <row r="365" spans="1:5" hidden="1" x14ac:dyDescent="0.3">
      <c r="A365" t="s">
        <v>333</v>
      </c>
      <c r="B365" t="s">
        <v>334</v>
      </c>
      <c r="C365" s="1">
        <v>42461</v>
      </c>
      <c r="D365" t="s">
        <v>284</v>
      </c>
      <c r="E365">
        <v>-2.14</v>
      </c>
    </row>
    <row r="366" spans="1:5" hidden="1" x14ac:dyDescent="0.3">
      <c r="A366" t="s">
        <v>335</v>
      </c>
      <c r="B366" t="s">
        <v>336</v>
      </c>
      <c r="C366" s="1">
        <v>42461</v>
      </c>
      <c r="D366" t="s">
        <v>284</v>
      </c>
      <c r="E366">
        <v>-1.95</v>
      </c>
    </row>
    <row r="367" spans="1:5" hidden="1" x14ac:dyDescent="0.3">
      <c r="A367" t="s">
        <v>337</v>
      </c>
      <c r="B367" t="s">
        <v>338</v>
      </c>
      <c r="C367" s="1">
        <v>42461</v>
      </c>
      <c r="D367" t="s">
        <v>284</v>
      </c>
      <c r="E367">
        <v>1.76</v>
      </c>
    </row>
    <row r="368" spans="1:5" hidden="1" x14ac:dyDescent="0.3">
      <c r="A368" t="s">
        <v>371</v>
      </c>
      <c r="B368" t="s">
        <v>372</v>
      </c>
      <c r="C368" s="1">
        <v>42461</v>
      </c>
      <c r="D368" t="s">
        <v>284</v>
      </c>
      <c r="E368">
        <v>-9.1999999999999993</v>
      </c>
    </row>
    <row r="369" spans="1:5" hidden="1" x14ac:dyDescent="0.3">
      <c r="A369" t="s">
        <v>5</v>
      </c>
      <c r="B369" t="s">
        <v>6</v>
      </c>
      <c r="C369" s="1">
        <v>42370</v>
      </c>
      <c r="D369" t="s">
        <v>283</v>
      </c>
      <c r="E369">
        <v>1.8</v>
      </c>
    </row>
    <row r="370" spans="1:5" hidden="1" x14ac:dyDescent="0.3">
      <c r="A370" t="s">
        <v>325</v>
      </c>
      <c r="B370" t="s">
        <v>326</v>
      </c>
      <c r="C370" s="1">
        <v>42370</v>
      </c>
      <c r="D370" t="s">
        <v>283</v>
      </c>
      <c r="E370">
        <v>2.17</v>
      </c>
    </row>
    <row r="371" spans="1:5" hidden="1" x14ac:dyDescent="0.3">
      <c r="A371" t="s">
        <v>327</v>
      </c>
      <c r="B371" t="s">
        <v>328</v>
      </c>
      <c r="C371" s="1">
        <v>42370</v>
      </c>
      <c r="D371" t="s">
        <v>283</v>
      </c>
      <c r="E371">
        <v>1.57</v>
      </c>
    </row>
    <row r="372" spans="1:5" x14ac:dyDescent="0.3">
      <c r="A372" t="s">
        <v>329</v>
      </c>
      <c r="B372" t="s">
        <v>330</v>
      </c>
      <c r="C372" s="1">
        <v>42370</v>
      </c>
      <c r="D372" t="s">
        <v>283</v>
      </c>
      <c r="E372">
        <v>227.27</v>
      </c>
    </row>
    <row r="373" spans="1:5" hidden="1" x14ac:dyDescent="0.3">
      <c r="A373" t="s">
        <v>331</v>
      </c>
      <c r="B373" t="s">
        <v>332</v>
      </c>
      <c r="C373" s="1">
        <v>42370</v>
      </c>
      <c r="D373" t="s">
        <v>283</v>
      </c>
      <c r="E373">
        <v>2.75</v>
      </c>
    </row>
    <row r="374" spans="1:5" hidden="1" x14ac:dyDescent="0.3">
      <c r="A374" t="s">
        <v>333</v>
      </c>
      <c r="B374" t="s">
        <v>334</v>
      </c>
      <c r="C374" s="1">
        <v>42370</v>
      </c>
      <c r="D374" t="s">
        <v>283</v>
      </c>
      <c r="E374">
        <v>-0.78</v>
      </c>
    </row>
    <row r="375" spans="1:5" hidden="1" x14ac:dyDescent="0.3">
      <c r="A375" t="s">
        <v>335</v>
      </c>
      <c r="B375" t="s">
        <v>336</v>
      </c>
      <c r="C375" s="1">
        <v>42370</v>
      </c>
      <c r="D375" t="s">
        <v>283</v>
      </c>
      <c r="E375">
        <v>-4.12</v>
      </c>
    </row>
    <row r="376" spans="1:5" hidden="1" x14ac:dyDescent="0.3">
      <c r="A376" t="s">
        <v>337</v>
      </c>
      <c r="B376" t="s">
        <v>338</v>
      </c>
      <c r="C376" s="1">
        <v>42370</v>
      </c>
      <c r="D376" t="s">
        <v>283</v>
      </c>
      <c r="E376">
        <v>1.88</v>
      </c>
    </row>
    <row r="377" spans="1:5" hidden="1" x14ac:dyDescent="0.3">
      <c r="A377" t="s">
        <v>371</v>
      </c>
      <c r="B377" t="s">
        <v>372</v>
      </c>
      <c r="C377" s="1">
        <v>42370</v>
      </c>
      <c r="D377" t="s">
        <v>283</v>
      </c>
      <c r="E377">
        <v>-11.44</v>
      </c>
    </row>
    <row r="378" spans="1:5" hidden="1" x14ac:dyDescent="0.3">
      <c r="A378" t="s">
        <v>5</v>
      </c>
      <c r="B378" t="s">
        <v>6</v>
      </c>
      <c r="C378" s="1">
        <v>42278</v>
      </c>
      <c r="D378" t="s">
        <v>282</v>
      </c>
      <c r="E378">
        <v>2.12</v>
      </c>
    </row>
    <row r="379" spans="1:5" hidden="1" x14ac:dyDescent="0.3">
      <c r="A379" t="s">
        <v>325</v>
      </c>
      <c r="B379" t="s">
        <v>326</v>
      </c>
      <c r="C379" s="1">
        <v>42278</v>
      </c>
      <c r="D379" t="s">
        <v>282</v>
      </c>
      <c r="E379">
        <v>1.99</v>
      </c>
    </row>
    <row r="380" spans="1:5" hidden="1" x14ac:dyDescent="0.3">
      <c r="A380" t="s">
        <v>327</v>
      </c>
      <c r="B380" t="s">
        <v>328</v>
      </c>
      <c r="C380" s="1">
        <v>42278</v>
      </c>
      <c r="D380" t="s">
        <v>282</v>
      </c>
      <c r="E380">
        <v>1.84</v>
      </c>
    </row>
    <row r="381" spans="1:5" x14ac:dyDescent="0.3">
      <c r="A381" t="s">
        <v>329</v>
      </c>
      <c r="B381" t="s">
        <v>330</v>
      </c>
      <c r="C381" s="1">
        <v>42278</v>
      </c>
      <c r="D381" t="s">
        <v>282</v>
      </c>
      <c r="E381">
        <v>60</v>
      </c>
    </row>
    <row r="382" spans="1:5" hidden="1" x14ac:dyDescent="0.3">
      <c r="A382" t="s">
        <v>331</v>
      </c>
      <c r="B382" t="s">
        <v>332</v>
      </c>
      <c r="C382" s="1">
        <v>42278</v>
      </c>
      <c r="D382" t="s">
        <v>282</v>
      </c>
      <c r="E382">
        <v>2.0099999999999998</v>
      </c>
    </row>
    <row r="383" spans="1:5" hidden="1" x14ac:dyDescent="0.3">
      <c r="A383" t="s">
        <v>333</v>
      </c>
      <c r="B383" t="s">
        <v>334</v>
      </c>
      <c r="C383" s="1">
        <v>42278</v>
      </c>
      <c r="D383" t="s">
        <v>282</v>
      </c>
      <c r="E383">
        <v>-1.46</v>
      </c>
    </row>
    <row r="384" spans="1:5" hidden="1" x14ac:dyDescent="0.3">
      <c r="A384" t="s">
        <v>335</v>
      </c>
      <c r="B384" t="s">
        <v>336</v>
      </c>
      <c r="C384" s="1">
        <v>42278</v>
      </c>
      <c r="D384" t="s">
        <v>282</v>
      </c>
      <c r="E384">
        <v>1.71</v>
      </c>
    </row>
    <row r="385" spans="1:5" hidden="1" x14ac:dyDescent="0.3">
      <c r="A385" t="s">
        <v>337</v>
      </c>
      <c r="B385" t="s">
        <v>338</v>
      </c>
      <c r="C385" s="1">
        <v>42278</v>
      </c>
      <c r="D385" t="s">
        <v>282</v>
      </c>
      <c r="E385">
        <v>1.95</v>
      </c>
    </row>
    <row r="386" spans="1:5" hidden="1" x14ac:dyDescent="0.3">
      <c r="A386" t="s">
        <v>371</v>
      </c>
      <c r="B386" t="s">
        <v>372</v>
      </c>
      <c r="C386" s="1">
        <v>42278</v>
      </c>
      <c r="D386" t="s">
        <v>282</v>
      </c>
      <c r="E386">
        <v>-11.7</v>
      </c>
    </row>
    <row r="387" spans="1:5" hidden="1" x14ac:dyDescent="0.3">
      <c r="A387" t="s">
        <v>5</v>
      </c>
      <c r="B387" t="s">
        <v>6</v>
      </c>
      <c r="C387" s="1">
        <v>42186</v>
      </c>
      <c r="D387" t="s">
        <v>281</v>
      </c>
      <c r="E387">
        <v>2.4500000000000002</v>
      </c>
    </row>
    <row r="388" spans="1:5" hidden="1" x14ac:dyDescent="0.3">
      <c r="A388" t="s">
        <v>325</v>
      </c>
      <c r="B388" t="s">
        <v>326</v>
      </c>
      <c r="C388" s="1">
        <v>42186</v>
      </c>
      <c r="D388" t="s">
        <v>281</v>
      </c>
      <c r="E388">
        <v>1.86</v>
      </c>
    </row>
    <row r="389" spans="1:5" hidden="1" x14ac:dyDescent="0.3">
      <c r="A389" t="s">
        <v>327</v>
      </c>
      <c r="B389" t="s">
        <v>328</v>
      </c>
      <c r="C389" s="1">
        <v>42186</v>
      </c>
      <c r="D389" t="s">
        <v>281</v>
      </c>
      <c r="E389">
        <v>2.17</v>
      </c>
    </row>
    <row r="390" spans="1:5" x14ac:dyDescent="0.3">
      <c r="A390" t="s">
        <v>329</v>
      </c>
      <c r="B390" t="s">
        <v>330</v>
      </c>
      <c r="C390" s="1">
        <v>42186</v>
      </c>
      <c r="D390" t="s">
        <v>281</v>
      </c>
      <c r="E390">
        <v>52.22</v>
      </c>
    </row>
    <row r="391" spans="1:5" hidden="1" x14ac:dyDescent="0.3">
      <c r="A391" t="s">
        <v>331</v>
      </c>
      <c r="B391" t="s">
        <v>332</v>
      </c>
      <c r="C391" s="1">
        <v>42186</v>
      </c>
      <c r="D391" t="s">
        <v>281</v>
      </c>
      <c r="E391">
        <v>2.64</v>
      </c>
    </row>
    <row r="392" spans="1:5" hidden="1" x14ac:dyDescent="0.3">
      <c r="A392" t="s">
        <v>333</v>
      </c>
      <c r="B392" t="s">
        <v>334</v>
      </c>
      <c r="C392" s="1">
        <v>42186</v>
      </c>
      <c r="D392" t="s">
        <v>281</v>
      </c>
      <c r="E392">
        <v>7.8</v>
      </c>
    </row>
    <row r="393" spans="1:5" hidden="1" x14ac:dyDescent="0.3">
      <c r="A393" t="s">
        <v>335</v>
      </c>
      <c r="B393" t="s">
        <v>336</v>
      </c>
      <c r="C393" s="1">
        <v>42186</v>
      </c>
      <c r="D393" t="s">
        <v>281</v>
      </c>
      <c r="E393">
        <v>9.36</v>
      </c>
    </row>
    <row r="394" spans="1:5" hidden="1" x14ac:dyDescent="0.3">
      <c r="A394" t="s">
        <v>337</v>
      </c>
      <c r="B394" t="s">
        <v>338</v>
      </c>
      <c r="C394" s="1">
        <v>42186</v>
      </c>
      <c r="D394" t="s">
        <v>281</v>
      </c>
      <c r="E394">
        <v>2.0299999999999998</v>
      </c>
    </row>
    <row r="395" spans="1:5" hidden="1" x14ac:dyDescent="0.3">
      <c r="A395" t="s">
        <v>371</v>
      </c>
      <c r="B395" t="s">
        <v>372</v>
      </c>
      <c r="C395" s="1">
        <v>42186</v>
      </c>
      <c r="D395" t="s">
        <v>281</v>
      </c>
      <c r="E395">
        <v>-15.94</v>
      </c>
    </row>
    <row r="396" spans="1:5" hidden="1" x14ac:dyDescent="0.3">
      <c r="A396" t="s">
        <v>5</v>
      </c>
      <c r="B396" t="s">
        <v>6</v>
      </c>
      <c r="C396" s="1">
        <v>42095</v>
      </c>
      <c r="D396" t="s">
        <v>280</v>
      </c>
      <c r="E396">
        <v>3.28</v>
      </c>
    </row>
    <row r="397" spans="1:5" hidden="1" x14ac:dyDescent="0.3">
      <c r="A397" t="s">
        <v>325</v>
      </c>
      <c r="B397" t="s">
        <v>326</v>
      </c>
      <c r="C397" s="1">
        <v>42095</v>
      </c>
      <c r="D397" t="s">
        <v>280</v>
      </c>
      <c r="E397">
        <v>1.78</v>
      </c>
    </row>
    <row r="398" spans="1:5" hidden="1" x14ac:dyDescent="0.3">
      <c r="A398" t="s">
        <v>327</v>
      </c>
      <c r="B398" t="s">
        <v>328</v>
      </c>
      <c r="C398" s="1">
        <v>42095</v>
      </c>
      <c r="D398" t="s">
        <v>280</v>
      </c>
      <c r="E398">
        <v>2.02</v>
      </c>
    </row>
    <row r="399" spans="1:5" x14ac:dyDescent="0.3">
      <c r="A399" t="s">
        <v>329</v>
      </c>
      <c r="B399" t="s">
        <v>330</v>
      </c>
      <c r="C399" s="1">
        <v>42095</v>
      </c>
      <c r="D399" t="s">
        <v>280</v>
      </c>
      <c r="E399">
        <v>32.26</v>
      </c>
    </row>
    <row r="400" spans="1:5" hidden="1" x14ac:dyDescent="0.3">
      <c r="A400" t="s">
        <v>331</v>
      </c>
      <c r="B400" t="s">
        <v>332</v>
      </c>
      <c r="C400" s="1">
        <v>42095</v>
      </c>
      <c r="D400" t="s">
        <v>280</v>
      </c>
      <c r="E400">
        <v>2.44</v>
      </c>
    </row>
    <row r="401" spans="1:5" hidden="1" x14ac:dyDescent="0.3">
      <c r="A401" t="s">
        <v>333</v>
      </c>
      <c r="B401" t="s">
        <v>334</v>
      </c>
      <c r="C401" s="1">
        <v>42095</v>
      </c>
      <c r="D401" t="s">
        <v>280</v>
      </c>
      <c r="E401">
        <v>-1.22</v>
      </c>
    </row>
    <row r="402" spans="1:5" hidden="1" x14ac:dyDescent="0.3">
      <c r="A402" t="s">
        <v>335</v>
      </c>
      <c r="B402" t="s">
        <v>336</v>
      </c>
      <c r="C402" s="1">
        <v>42095</v>
      </c>
      <c r="D402" t="s">
        <v>280</v>
      </c>
      <c r="E402">
        <v>13.76</v>
      </c>
    </row>
    <row r="403" spans="1:5" hidden="1" x14ac:dyDescent="0.3">
      <c r="A403" t="s">
        <v>337</v>
      </c>
      <c r="B403" t="s">
        <v>338</v>
      </c>
      <c r="C403" s="1">
        <v>42095</v>
      </c>
      <c r="D403" t="s">
        <v>280</v>
      </c>
      <c r="E403">
        <v>2.11</v>
      </c>
    </row>
    <row r="404" spans="1:5" hidden="1" x14ac:dyDescent="0.3">
      <c r="A404" t="s">
        <v>371</v>
      </c>
      <c r="B404" t="s">
        <v>372</v>
      </c>
      <c r="C404" s="1">
        <v>42095</v>
      </c>
      <c r="D404" t="s">
        <v>280</v>
      </c>
      <c r="E404">
        <v>-12.37</v>
      </c>
    </row>
    <row r="405" spans="1:5" hidden="1" x14ac:dyDescent="0.3">
      <c r="A405" t="s">
        <v>5</v>
      </c>
      <c r="B405" t="s">
        <v>6</v>
      </c>
      <c r="C405" s="1">
        <v>42005</v>
      </c>
      <c r="D405" t="s">
        <v>279</v>
      </c>
      <c r="E405">
        <v>3.97</v>
      </c>
    </row>
    <row r="406" spans="1:5" hidden="1" x14ac:dyDescent="0.3">
      <c r="A406" t="s">
        <v>325</v>
      </c>
      <c r="B406" t="s">
        <v>326</v>
      </c>
      <c r="C406" s="1">
        <v>42005</v>
      </c>
      <c r="D406" t="s">
        <v>279</v>
      </c>
      <c r="E406">
        <v>1.69</v>
      </c>
    </row>
    <row r="407" spans="1:5" hidden="1" x14ac:dyDescent="0.3">
      <c r="A407" t="s">
        <v>327</v>
      </c>
      <c r="B407" t="s">
        <v>328</v>
      </c>
      <c r="C407" s="1">
        <v>42005</v>
      </c>
      <c r="D407" t="s">
        <v>279</v>
      </c>
      <c r="E407">
        <v>1.85</v>
      </c>
    </row>
    <row r="408" spans="1:5" x14ac:dyDescent="0.3">
      <c r="A408" t="s">
        <v>329</v>
      </c>
      <c r="B408" t="s">
        <v>330</v>
      </c>
      <c r="C408" s="1">
        <v>42005</v>
      </c>
      <c r="D408" t="s">
        <v>279</v>
      </c>
      <c r="E408">
        <v>50.68</v>
      </c>
    </row>
    <row r="409" spans="1:5" hidden="1" x14ac:dyDescent="0.3">
      <c r="A409" t="s">
        <v>331</v>
      </c>
      <c r="B409" t="s">
        <v>332</v>
      </c>
      <c r="C409" s="1">
        <v>42005</v>
      </c>
      <c r="D409" t="s">
        <v>279</v>
      </c>
      <c r="E409">
        <v>3.16</v>
      </c>
    </row>
    <row r="410" spans="1:5" hidden="1" x14ac:dyDescent="0.3">
      <c r="A410" t="s">
        <v>333</v>
      </c>
      <c r="B410" t="s">
        <v>334</v>
      </c>
      <c r="C410" s="1">
        <v>42005</v>
      </c>
      <c r="D410" t="s">
        <v>279</v>
      </c>
      <c r="E410">
        <v>2.61</v>
      </c>
    </row>
    <row r="411" spans="1:5" hidden="1" x14ac:dyDescent="0.3">
      <c r="A411" t="s">
        <v>335</v>
      </c>
      <c r="B411" t="s">
        <v>336</v>
      </c>
      <c r="C411" s="1">
        <v>42005</v>
      </c>
      <c r="D411" t="s">
        <v>279</v>
      </c>
      <c r="E411">
        <v>18</v>
      </c>
    </row>
    <row r="412" spans="1:5" hidden="1" x14ac:dyDescent="0.3">
      <c r="A412" t="s">
        <v>337</v>
      </c>
      <c r="B412" t="s">
        <v>338</v>
      </c>
      <c r="C412" s="1">
        <v>42005</v>
      </c>
      <c r="D412" t="s">
        <v>279</v>
      </c>
      <c r="E412">
        <v>2.19</v>
      </c>
    </row>
    <row r="413" spans="1:5" hidden="1" x14ac:dyDescent="0.3">
      <c r="A413" t="s">
        <v>371</v>
      </c>
      <c r="B413" t="s">
        <v>372</v>
      </c>
      <c r="C413" s="1">
        <v>42005</v>
      </c>
      <c r="D413" t="s">
        <v>279</v>
      </c>
      <c r="E413">
        <v>-17.010000000000002</v>
      </c>
    </row>
    <row r="414" spans="1:5" hidden="1" x14ac:dyDescent="0.3">
      <c r="A414" t="s">
        <v>5</v>
      </c>
      <c r="B414" t="s">
        <v>6</v>
      </c>
      <c r="C414" s="1">
        <v>41913</v>
      </c>
      <c r="D414" t="s">
        <v>278</v>
      </c>
      <c r="E414">
        <v>2.69</v>
      </c>
    </row>
    <row r="415" spans="1:5" hidden="1" x14ac:dyDescent="0.3">
      <c r="A415" t="s">
        <v>325</v>
      </c>
      <c r="B415" t="s">
        <v>326</v>
      </c>
      <c r="C415" s="1">
        <v>41913</v>
      </c>
      <c r="D415" t="s">
        <v>278</v>
      </c>
      <c r="E415">
        <v>1.73</v>
      </c>
    </row>
    <row r="416" spans="1:5" hidden="1" x14ac:dyDescent="0.3">
      <c r="A416" t="s">
        <v>327</v>
      </c>
      <c r="B416" t="s">
        <v>328</v>
      </c>
      <c r="C416" s="1">
        <v>41913</v>
      </c>
      <c r="D416" t="s">
        <v>278</v>
      </c>
      <c r="E416">
        <v>1.97</v>
      </c>
    </row>
    <row r="417" spans="1:5" x14ac:dyDescent="0.3">
      <c r="A417" t="s">
        <v>329</v>
      </c>
      <c r="B417" t="s">
        <v>330</v>
      </c>
      <c r="C417" s="1">
        <v>41913</v>
      </c>
      <c r="D417" t="s">
        <v>278</v>
      </c>
      <c r="E417">
        <v>14.94</v>
      </c>
    </row>
    <row r="418" spans="1:5" hidden="1" x14ac:dyDescent="0.3">
      <c r="A418" t="s">
        <v>331</v>
      </c>
      <c r="B418" t="s">
        <v>332</v>
      </c>
      <c r="C418" s="1">
        <v>41913</v>
      </c>
      <c r="D418" t="s">
        <v>278</v>
      </c>
      <c r="E418">
        <v>4.55</v>
      </c>
    </row>
    <row r="419" spans="1:5" hidden="1" x14ac:dyDescent="0.3">
      <c r="A419" t="s">
        <v>333</v>
      </c>
      <c r="B419" t="s">
        <v>334</v>
      </c>
      <c r="C419" s="1">
        <v>41913</v>
      </c>
      <c r="D419" t="s">
        <v>278</v>
      </c>
      <c r="E419">
        <v>19.97</v>
      </c>
    </row>
    <row r="420" spans="1:5" hidden="1" x14ac:dyDescent="0.3">
      <c r="A420" t="s">
        <v>335</v>
      </c>
      <c r="B420" t="s">
        <v>336</v>
      </c>
      <c r="C420" s="1">
        <v>41913</v>
      </c>
      <c r="D420" t="s">
        <v>278</v>
      </c>
      <c r="E420">
        <v>16.68</v>
      </c>
    </row>
    <row r="421" spans="1:5" hidden="1" x14ac:dyDescent="0.3">
      <c r="A421" t="s">
        <v>337</v>
      </c>
      <c r="B421" t="s">
        <v>338</v>
      </c>
      <c r="C421" s="1">
        <v>41913</v>
      </c>
      <c r="D421" t="s">
        <v>278</v>
      </c>
      <c r="E421">
        <v>2.0699999999999998</v>
      </c>
    </row>
    <row r="422" spans="1:5" hidden="1" x14ac:dyDescent="0.3">
      <c r="A422" t="s">
        <v>371</v>
      </c>
      <c r="B422" t="s">
        <v>372</v>
      </c>
      <c r="C422" s="1">
        <v>41913</v>
      </c>
      <c r="D422" t="s">
        <v>278</v>
      </c>
      <c r="E422">
        <v>-17.78</v>
      </c>
    </row>
    <row r="423" spans="1:5" hidden="1" x14ac:dyDescent="0.3">
      <c r="A423" t="s">
        <v>5</v>
      </c>
      <c r="B423" t="s">
        <v>6</v>
      </c>
      <c r="C423" s="1">
        <v>41821</v>
      </c>
      <c r="D423" t="s">
        <v>277</v>
      </c>
      <c r="E423">
        <v>3.06</v>
      </c>
    </row>
    <row r="424" spans="1:5" hidden="1" x14ac:dyDescent="0.3">
      <c r="A424" t="s">
        <v>325</v>
      </c>
      <c r="B424" t="s">
        <v>326</v>
      </c>
      <c r="C424" s="1">
        <v>41821</v>
      </c>
      <c r="D424" t="s">
        <v>277</v>
      </c>
      <c r="E424">
        <v>1.77</v>
      </c>
    </row>
    <row r="425" spans="1:5" hidden="1" x14ac:dyDescent="0.3">
      <c r="A425" t="s">
        <v>327</v>
      </c>
      <c r="B425" t="s">
        <v>328</v>
      </c>
      <c r="C425" s="1">
        <v>41821</v>
      </c>
      <c r="D425" t="s">
        <v>277</v>
      </c>
      <c r="E425">
        <v>1.98</v>
      </c>
    </row>
    <row r="426" spans="1:5" x14ac:dyDescent="0.3">
      <c r="A426" t="s">
        <v>329</v>
      </c>
      <c r="B426" t="s">
        <v>330</v>
      </c>
      <c r="C426" s="1">
        <v>41821</v>
      </c>
      <c r="D426" t="s">
        <v>277</v>
      </c>
      <c r="E426">
        <v>8.43</v>
      </c>
    </row>
    <row r="427" spans="1:5" hidden="1" x14ac:dyDescent="0.3">
      <c r="A427" t="s">
        <v>331</v>
      </c>
      <c r="B427" t="s">
        <v>332</v>
      </c>
      <c r="C427" s="1">
        <v>41821</v>
      </c>
      <c r="D427" t="s">
        <v>277</v>
      </c>
      <c r="E427">
        <v>4.8499999999999996</v>
      </c>
    </row>
    <row r="428" spans="1:5" hidden="1" x14ac:dyDescent="0.3">
      <c r="A428" t="s">
        <v>333</v>
      </c>
      <c r="B428" t="s">
        <v>334</v>
      </c>
      <c r="C428" s="1">
        <v>41821</v>
      </c>
      <c r="D428" t="s">
        <v>277</v>
      </c>
      <c r="E428">
        <v>4.42</v>
      </c>
    </row>
    <row r="429" spans="1:5" hidden="1" x14ac:dyDescent="0.3">
      <c r="A429" t="s">
        <v>335</v>
      </c>
      <c r="B429" t="s">
        <v>336</v>
      </c>
      <c r="C429" s="1">
        <v>41821</v>
      </c>
      <c r="D429" t="s">
        <v>277</v>
      </c>
      <c r="E429">
        <v>1.72</v>
      </c>
    </row>
    <row r="430" spans="1:5" hidden="1" x14ac:dyDescent="0.3">
      <c r="A430" t="s">
        <v>337</v>
      </c>
      <c r="B430" t="s">
        <v>338</v>
      </c>
      <c r="C430" s="1">
        <v>41821</v>
      </c>
      <c r="D430" t="s">
        <v>277</v>
      </c>
      <c r="E430">
        <v>1.96</v>
      </c>
    </row>
    <row r="431" spans="1:5" hidden="1" x14ac:dyDescent="0.3">
      <c r="A431" t="s">
        <v>371</v>
      </c>
      <c r="B431" t="s">
        <v>372</v>
      </c>
      <c r="C431" s="1">
        <v>41821</v>
      </c>
      <c r="D431" t="s">
        <v>277</v>
      </c>
      <c r="E431">
        <v>-16.12</v>
      </c>
    </row>
    <row r="432" spans="1:5" hidden="1" x14ac:dyDescent="0.3">
      <c r="A432" t="s">
        <v>5</v>
      </c>
      <c r="B432" t="s">
        <v>6</v>
      </c>
      <c r="C432" s="1">
        <v>41730</v>
      </c>
      <c r="D432" t="s">
        <v>276</v>
      </c>
      <c r="E432">
        <v>2.69</v>
      </c>
    </row>
    <row r="433" spans="1:5" hidden="1" x14ac:dyDescent="0.3">
      <c r="A433" t="s">
        <v>325</v>
      </c>
      <c r="B433" t="s">
        <v>326</v>
      </c>
      <c r="C433" s="1">
        <v>41730</v>
      </c>
      <c r="D433" t="s">
        <v>276</v>
      </c>
      <c r="E433">
        <v>1.9</v>
      </c>
    </row>
    <row r="434" spans="1:5" hidden="1" x14ac:dyDescent="0.3">
      <c r="A434" t="s">
        <v>327</v>
      </c>
      <c r="B434" t="s">
        <v>328</v>
      </c>
      <c r="C434" s="1">
        <v>41730</v>
      </c>
      <c r="D434" t="s">
        <v>276</v>
      </c>
      <c r="E434">
        <v>1.84</v>
      </c>
    </row>
    <row r="435" spans="1:5" x14ac:dyDescent="0.3">
      <c r="A435" t="s">
        <v>329</v>
      </c>
      <c r="B435" t="s">
        <v>330</v>
      </c>
      <c r="C435" s="1">
        <v>41730</v>
      </c>
      <c r="D435" t="s">
        <v>276</v>
      </c>
      <c r="E435">
        <v>-20.51</v>
      </c>
    </row>
    <row r="436" spans="1:5" hidden="1" x14ac:dyDescent="0.3">
      <c r="A436" t="s">
        <v>331</v>
      </c>
      <c r="B436" t="s">
        <v>332</v>
      </c>
      <c r="C436" s="1">
        <v>41730</v>
      </c>
      <c r="D436" t="s">
        <v>276</v>
      </c>
      <c r="E436">
        <v>4.95</v>
      </c>
    </row>
    <row r="437" spans="1:5" hidden="1" x14ac:dyDescent="0.3">
      <c r="A437" t="s">
        <v>333</v>
      </c>
      <c r="B437" t="s">
        <v>334</v>
      </c>
      <c r="C437" s="1">
        <v>41730</v>
      </c>
      <c r="D437" t="s">
        <v>276</v>
      </c>
      <c r="E437">
        <v>7.19</v>
      </c>
    </row>
    <row r="438" spans="1:5" hidden="1" x14ac:dyDescent="0.3">
      <c r="A438" t="s">
        <v>335</v>
      </c>
      <c r="B438" t="s">
        <v>336</v>
      </c>
      <c r="C438" s="1">
        <v>41730</v>
      </c>
      <c r="D438" t="s">
        <v>276</v>
      </c>
      <c r="E438">
        <v>1.43</v>
      </c>
    </row>
    <row r="439" spans="1:5" hidden="1" x14ac:dyDescent="0.3">
      <c r="A439" t="s">
        <v>337</v>
      </c>
      <c r="B439" t="s">
        <v>338</v>
      </c>
      <c r="C439" s="1">
        <v>41730</v>
      </c>
      <c r="D439" t="s">
        <v>276</v>
      </c>
      <c r="E439">
        <v>1.82</v>
      </c>
    </row>
    <row r="440" spans="1:5" hidden="1" x14ac:dyDescent="0.3">
      <c r="A440" t="s">
        <v>371</v>
      </c>
      <c r="B440" t="s">
        <v>372</v>
      </c>
      <c r="C440" s="1">
        <v>41730</v>
      </c>
      <c r="D440" t="s">
        <v>276</v>
      </c>
      <c r="E440">
        <v>-17.7</v>
      </c>
    </row>
    <row r="441" spans="1:5" hidden="1" x14ac:dyDescent="0.3">
      <c r="A441" t="s">
        <v>5</v>
      </c>
      <c r="B441" t="s">
        <v>6</v>
      </c>
      <c r="C441" s="1">
        <v>41640</v>
      </c>
      <c r="D441" t="s">
        <v>275</v>
      </c>
      <c r="E441">
        <v>1.65</v>
      </c>
    </row>
    <row r="442" spans="1:5" hidden="1" x14ac:dyDescent="0.3">
      <c r="A442" t="s">
        <v>325</v>
      </c>
      <c r="B442" t="s">
        <v>326</v>
      </c>
      <c r="C442" s="1">
        <v>41640</v>
      </c>
      <c r="D442" t="s">
        <v>275</v>
      </c>
      <c r="E442">
        <v>1.6</v>
      </c>
    </row>
    <row r="443" spans="1:5" hidden="1" x14ac:dyDescent="0.3">
      <c r="A443" t="s">
        <v>327</v>
      </c>
      <c r="B443" t="s">
        <v>328</v>
      </c>
      <c r="C443" s="1">
        <v>41640</v>
      </c>
      <c r="D443" t="s">
        <v>275</v>
      </c>
      <c r="E443">
        <v>1.88</v>
      </c>
    </row>
    <row r="444" spans="1:5" x14ac:dyDescent="0.3">
      <c r="A444" t="s">
        <v>329</v>
      </c>
      <c r="B444" t="s">
        <v>330</v>
      </c>
      <c r="C444" s="1">
        <v>41640</v>
      </c>
      <c r="D444" t="s">
        <v>275</v>
      </c>
      <c r="E444">
        <v>-48.95</v>
      </c>
    </row>
    <row r="445" spans="1:5" hidden="1" x14ac:dyDescent="0.3">
      <c r="A445" t="s">
        <v>331</v>
      </c>
      <c r="B445" t="s">
        <v>332</v>
      </c>
      <c r="C445" s="1">
        <v>41640</v>
      </c>
      <c r="D445" t="s">
        <v>275</v>
      </c>
      <c r="E445">
        <v>2.44</v>
      </c>
    </row>
    <row r="446" spans="1:5" hidden="1" x14ac:dyDescent="0.3">
      <c r="A446" t="s">
        <v>333</v>
      </c>
      <c r="B446" t="s">
        <v>334</v>
      </c>
      <c r="C446" s="1">
        <v>41640</v>
      </c>
      <c r="D446" t="s">
        <v>275</v>
      </c>
      <c r="E446">
        <v>2.94</v>
      </c>
    </row>
    <row r="447" spans="1:5" hidden="1" x14ac:dyDescent="0.3">
      <c r="A447" t="s">
        <v>335</v>
      </c>
      <c r="B447" t="s">
        <v>336</v>
      </c>
      <c r="C447" s="1">
        <v>41640</v>
      </c>
      <c r="D447" t="s">
        <v>275</v>
      </c>
      <c r="E447">
        <v>5.56</v>
      </c>
    </row>
    <row r="448" spans="1:5" hidden="1" x14ac:dyDescent="0.3">
      <c r="A448" t="s">
        <v>337</v>
      </c>
      <c r="B448" t="s">
        <v>338</v>
      </c>
      <c r="C448" s="1">
        <v>41640</v>
      </c>
      <c r="D448" t="s">
        <v>275</v>
      </c>
      <c r="E448">
        <v>1.66</v>
      </c>
    </row>
    <row r="449" spans="1:5" hidden="1" x14ac:dyDescent="0.3">
      <c r="A449" t="s">
        <v>371</v>
      </c>
      <c r="B449" t="s">
        <v>372</v>
      </c>
      <c r="C449" s="1">
        <v>41640</v>
      </c>
      <c r="D449" t="s">
        <v>275</v>
      </c>
      <c r="E449">
        <v>-13.79</v>
      </c>
    </row>
    <row r="450" spans="1:5" hidden="1" x14ac:dyDescent="0.3">
      <c r="A450" t="s">
        <v>5</v>
      </c>
      <c r="B450" t="s">
        <v>6</v>
      </c>
      <c r="C450" s="1">
        <v>41548</v>
      </c>
      <c r="D450" t="s">
        <v>274</v>
      </c>
      <c r="E450">
        <v>3.01</v>
      </c>
    </row>
    <row r="451" spans="1:5" hidden="1" x14ac:dyDescent="0.3">
      <c r="A451" t="s">
        <v>325</v>
      </c>
      <c r="B451" t="s">
        <v>326</v>
      </c>
      <c r="C451" s="1">
        <v>41548</v>
      </c>
      <c r="D451" t="s">
        <v>274</v>
      </c>
      <c r="E451">
        <v>1.72</v>
      </c>
    </row>
    <row r="452" spans="1:5" hidden="1" x14ac:dyDescent="0.3">
      <c r="A452" t="s">
        <v>327</v>
      </c>
      <c r="B452" t="s">
        <v>328</v>
      </c>
      <c r="C452" s="1">
        <v>41548</v>
      </c>
      <c r="D452" t="s">
        <v>274</v>
      </c>
      <c r="E452">
        <v>1.36</v>
      </c>
    </row>
    <row r="453" spans="1:5" x14ac:dyDescent="0.3">
      <c r="A453" t="s">
        <v>329</v>
      </c>
      <c r="B453" t="s">
        <v>330</v>
      </c>
      <c r="C453" s="1">
        <v>41548</v>
      </c>
      <c r="D453" t="s">
        <v>274</v>
      </c>
      <c r="E453">
        <v>-45.63</v>
      </c>
    </row>
    <row r="454" spans="1:5" hidden="1" x14ac:dyDescent="0.3">
      <c r="A454" t="s">
        <v>331</v>
      </c>
      <c r="B454" t="s">
        <v>332</v>
      </c>
      <c r="C454" s="1">
        <v>41548</v>
      </c>
      <c r="D454" t="s">
        <v>274</v>
      </c>
      <c r="E454">
        <v>3.38</v>
      </c>
    </row>
    <row r="455" spans="1:5" hidden="1" x14ac:dyDescent="0.3">
      <c r="A455" t="s">
        <v>333</v>
      </c>
      <c r="B455" t="s">
        <v>334</v>
      </c>
      <c r="C455" s="1">
        <v>41548</v>
      </c>
      <c r="D455" t="s">
        <v>274</v>
      </c>
      <c r="E455">
        <v>-16.18</v>
      </c>
    </row>
    <row r="456" spans="1:5" hidden="1" x14ac:dyDescent="0.3">
      <c r="A456" t="s">
        <v>335</v>
      </c>
      <c r="B456" t="s">
        <v>336</v>
      </c>
      <c r="C456" s="1">
        <v>41548</v>
      </c>
      <c r="D456" t="s">
        <v>274</v>
      </c>
      <c r="E456">
        <v>-3.11</v>
      </c>
    </row>
    <row r="457" spans="1:5" hidden="1" x14ac:dyDescent="0.3">
      <c r="A457" t="s">
        <v>337</v>
      </c>
      <c r="B457" t="s">
        <v>338</v>
      </c>
      <c r="C457" s="1">
        <v>41548</v>
      </c>
      <c r="D457" t="s">
        <v>274</v>
      </c>
      <c r="E457">
        <v>1.77</v>
      </c>
    </row>
    <row r="458" spans="1:5" hidden="1" x14ac:dyDescent="0.3">
      <c r="A458" t="s">
        <v>371</v>
      </c>
      <c r="B458" t="s">
        <v>372</v>
      </c>
      <c r="C458" s="1">
        <v>41548</v>
      </c>
      <c r="D458" t="s">
        <v>274</v>
      </c>
      <c r="E458">
        <v>-11.12</v>
      </c>
    </row>
    <row r="459" spans="1:5" hidden="1" x14ac:dyDescent="0.3">
      <c r="A459" t="s">
        <v>5</v>
      </c>
      <c r="B459" t="s">
        <v>6</v>
      </c>
      <c r="C459" s="1">
        <v>41456</v>
      </c>
      <c r="D459" t="s">
        <v>273</v>
      </c>
      <c r="E459">
        <v>2.2400000000000002</v>
      </c>
    </row>
    <row r="460" spans="1:5" hidden="1" x14ac:dyDescent="0.3">
      <c r="A460" t="s">
        <v>325</v>
      </c>
      <c r="B460" t="s">
        <v>326</v>
      </c>
      <c r="C460" s="1">
        <v>41456</v>
      </c>
      <c r="D460" t="s">
        <v>273</v>
      </c>
      <c r="E460">
        <v>1.74</v>
      </c>
    </row>
    <row r="461" spans="1:5" hidden="1" x14ac:dyDescent="0.3">
      <c r="A461" t="s">
        <v>327</v>
      </c>
      <c r="B461" t="s">
        <v>328</v>
      </c>
      <c r="C461" s="1">
        <v>41456</v>
      </c>
      <c r="D461" t="s">
        <v>273</v>
      </c>
      <c r="E461">
        <v>1.2</v>
      </c>
    </row>
    <row r="462" spans="1:5" x14ac:dyDescent="0.3">
      <c r="A462" t="s">
        <v>329</v>
      </c>
      <c r="B462" t="s">
        <v>330</v>
      </c>
      <c r="C462" s="1">
        <v>41456</v>
      </c>
      <c r="D462" t="s">
        <v>273</v>
      </c>
      <c r="E462">
        <v>-41.96</v>
      </c>
    </row>
    <row r="463" spans="1:5" hidden="1" x14ac:dyDescent="0.3">
      <c r="A463" t="s">
        <v>331</v>
      </c>
      <c r="B463" t="s">
        <v>332</v>
      </c>
      <c r="C463" s="1">
        <v>41456</v>
      </c>
      <c r="D463" t="s">
        <v>273</v>
      </c>
      <c r="E463">
        <v>4.07</v>
      </c>
    </row>
    <row r="464" spans="1:5" hidden="1" x14ac:dyDescent="0.3">
      <c r="A464" t="s">
        <v>333</v>
      </c>
      <c r="B464" t="s">
        <v>334</v>
      </c>
      <c r="C464" s="1">
        <v>41456</v>
      </c>
      <c r="D464" t="s">
        <v>273</v>
      </c>
      <c r="E464">
        <v>-9.11</v>
      </c>
    </row>
    <row r="465" spans="1:5" hidden="1" x14ac:dyDescent="0.3">
      <c r="A465" t="s">
        <v>335</v>
      </c>
      <c r="B465" t="s">
        <v>336</v>
      </c>
      <c r="C465" s="1">
        <v>41456</v>
      </c>
      <c r="D465" t="s">
        <v>273</v>
      </c>
      <c r="E465">
        <v>8.8000000000000007</v>
      </c>
    </row>
    <row r="466" spans="1:5" hidden="1" x14ac:dyDescent="0.3">
      <c r="A466" t="s">
        <v>337</v>
      </c>
      <c r="B466" t="s">
        <v>338</v>
      </c>
      <c r="C466" s="1">
        <v>41456</v>
      </c>
      <c r="D466" t="s">
        <v>273</v>
      </c>
      <c r="E466">
        <v>1.7</v>
      </c>
    </row>
    <row r="467" spans="1:5" hidden="1" x14ac:dyDescent="0.3">
      <c r="A467" t="s">
        <v>371</v>
      </c>
      <c r="B467" t="s">
        <v>372</v>
      </c>
      <c r="C467" s="1">
        <v>41456</v>
      </c>
      <c r="D467" t="s">
        <v>273</v>
      </c>
      <c r="E467">
        <v>-9.9600000000000009</v>
      </c>
    </row>
    <row r="468" spans="1:5" hidden="1" x14ac:dyDescent="0.3">
      <c r="A468" t="s">
        <v>5</v>
      </c>
      <c r="B468" t="s">
        <v>6</v>
      </c>
      <c r="C468" s="1">
        <v>41365</v>
      </c>
      <c r="D468" t="s">
        <v>272</v>
      </c>
      <c r="E468">
        <v>1.52</v>
      </c>
    </row>
    <row r="469" spans="1:5" hidden="1" x14ac:dyDescent="0.3">
      <c r="A469" t="s">
        <v>325</v>
      </c>
      <c r="B469" t="s">
        <v>326</v>
      </c>
      <c r="C469" s="1">
        <v>41365</v>
      </c>
      <c r="D469" t="s">
        <v>272</v>
      </c>
      <c r="E469">
        <v>1.66</v>
      </c>
    </row>
    <row r="470" spans="1:5" hidden="1" x14ac:dyDescent="0.3">
      <c r="A470" t="s">
        <v>327</v>
      </c>
      <c r="B470" t="s">
        <v>328</v>
      </c>
      <c r="C470" s="1">
        <v>41365</v>
      </c>
      <c r="D470" t="s">
        <v>272</v>
      </c>
      <c r="E470">
        <v>1.63</v>
      </c>
    </row>
    <row r="471" spans="1:5" x14ac:dyDescent="0.3">
      <c r="A471" t="s">
        <v>329</v>
      </c>
      <c r="B471" t="s">
        <v>330</v>
      </c>
      <c r="C471" s="1">
        <v>41365</v>
      </c>
      <c r="D471" t="s">
        <v>272</v>
      </c>
      <c r="E471">
        <v>-23.53</v>
      </c>
    </row>
    <row r="472" spans="1:5" hidden="1" x14ac:dyDescent="0.3">
      <c r="A472" t="s">
        <v>331</v>
      </c>
      <c r="B472" t="s">
        <v>332</v>
      </c>
      <c r="C472" s="1">
        <v>41365</v>
      </c>
      <c r="D472" t="s">
        <v>272</v>
      </c>
      <c r="E472">
        <v>4.05</v>
      </c>
    </row>
    <row r="473" spans="1:5" hidden="1" x14ac:dyDescent="0.3">
      <c r="A473" t="s">
        <v>333</v>
      </c>
      <c r="B473" t="s">
        <v>334</v>
      </c>
      <c r="C473" s="1">
        <v>41365</v>
      </c>
      <c r="D473" t="s">
        <v>272</v>
      </c>
      <c r="E473">
        <v>-14.38</v>
      </c>
    </row>
    <row r="474" spans="1:5" hidden="1" x14ac:dyDescent="0.3">
      <c r="A474" t="s">
        <v>335</v>
      </c>
      <c r="B474" t="s">
        <v>336</v>
      </c>
      <c r="C474" s="1">
        <v>41365</v>
      </c>
      <c r="D474" t="s">
        <v>272</v>
      </c>
      <c r="E474">
        <v>7.03</v>
      </c>
    </row>
    <row r="475" spans="1:5" hidden="1" x14ac:dyDescent="0.3">
      <c r="A475" t="s">
        <v>337</v>
      </c>
      <c r="B475" t="s">
        <v>338</v>
      </c>
      <c r="C475" s="1">
        <v>41365</v>
      </c>
      <c r="D475" t="s">
        <v>272</v>
      </c>
      <c r="E475">
        <v>1.61</v>
      </c>
    </row>
    <row r="476" spans="1:5" hidden="1" x14ac:dyDescent="0.3">
      <c r="A476" t="s">
        <v>371</v>
      </c>
      <c r="B476" t="s">
        <v>372</v>
      </c>
      <c r="C476" s="1">
        <v>41365</v>
      </c>
      <c r="D476" t="s">
        <v>272</v>
      </c>
      <c r="E476">
        <v>-8.1300000000000008</v>
      </c>
    </row>
    <row r="477" spans="1:5" hidden="1" x14ac:dyDescent="0.3">
      <c r="A477" t="s">
        <v>5</v>
      </c>
      <c r="B477" t="s">
        <v>6</v>
      </c>
      <c r="C477" s="1">
        <v>41275</v>
      </c>
      <c r="D477" t="s">
        <v>271</v>
      </c>
      <c r="E477">
        <v>1.7</v>
      </c>
    </row>
    <row r="478" spans="1:5" hidden="1" x14ac:dyDescent="0.3">
      <c r="A478" t="s">
        <v>325</v>
      </c>
      <c r="B478" t="s">
        <v>326</v>
      </c>
      <c r="C478" s="1">
        <v>41275</v>
      </c>
      <c r="D478" t="s">
        <v>271</v>
      </c>
      <c r="E478">
        <v>1.93</v>
      </c>
    </row>
    <row r="479" spans="1:5" hidden="1" x14ac:dyDescent="0.3">
      <c r="A479" t="s">
        <v>327</v>
      </c>
      <c r="B479" t="s">
        <v>328</v>
      </c>
      <c r="C479" s="1">
        <v>41275</v>
      </c>
      <c r="D479" t="s">
        <v>271</v>
      </c>
      <c r="E479">
        <v>1.75</v>
      </c>
    </row>
    <row r="480" spans="1:5" x14ac:dyDescent="0.3">
      <c r="A480" t="s">
        <v>329</v>
      </c>
      <c r="B480" t="s">
        <v>330</v>
      </c>
      <c r="C480" s="1">
        <v>41275</v>
      </c>
      <c r="D480" t="s">
        <v>271</v>
      </c>
      <c r="E480">
        <v>38.83</v>
      </c>
    </row>
    <row r="481" spans="1:5" hidden="1" x14ac:dyDescent="0.3">
      <c r="A481" t="s">
        <v>331</v>
      </c>
      <c r="B481" t="s">
        <v>332</v>
      </c>
      <c r="C481" s="1">
        <v>41275</v>
      </c>
      <c r="D481" t="s">
        <v>271</v>
      </c>
      <c r="E481">
        <v>3.94</v>
      </c>
    </row>
    <row r="482" spans="1:5" hidden="1" x14ac:dyDescent="0.3">
      <c r="A482" t="s">
        <v>333</v>
      </c>
      <c r="B482" t="s">
        <v>334</v>
      </c>
      <c r="C482" s="1">
        <v>41275</v>
      </c>
      <c r="D482" t="s">
        <v>271</v>
      </c>
      <c r="E482">
        <v>-18.63</v>
      </c>
    </row>
    <row r="483" spans="1:5" hidden="1" x14ac:dyDescent="0.3">
      <c r="A483" t="s">
        <v>335</v>
      </c>
      <c r="B483" t="s">
        <v>336</v>
      </c>
      <c r="C483" s="1">
        <v>41275</v>
      </c>
      <c r="D483" t="s">
        <v>271</v>
      </c>
      <c r="E483">
        <v>1.55</v>
      </c>
    </row>
    <row r="484" spans="1:5" hidden="1" x14ac:dyDescent="0.3">
      <c r="A484" t="s">
        <v>337</v>
      </c>
      <c r="B484" t="s">
        <v>338</v>
      </c>
      <c r="C484" s="1">
        <v>41275</v>
      </c>
      <c r="D484" t="s">
        <v>271</v>
      </c>
      <c r="E484">
        <v>1.5</v>
      </c>
    </row>
    <row r="485" spans="1:5" hidden="1" x14ac:dyDescent="0.3">
      <c r="A485" t="s">
        <v>371</v>
      </c>
      <c r="B485" t="s">
        <v>372</v>
      </c>
      <c r="C485" s="1">
        <v>41275</v>
      </c>
      <c r="D485" t="s">
        <v>271</v>
      </c>
      <c r="E485">
        <v>-6.46</v>
      </c>
    </row>
    <row r="486" spans="1:5" hidden="1" x14ac:dyDescent="0.3">
      <c r="A486" t="s">
        <v>5</v>
      </c>
      <c r="B486" t="s">
        <v>6</v>
      </c>
      <c r="C486" s="1">
        <v>41183</v>
      </c>
      <c r="D486" t="s">
        <v>270</v>
      </c>
      <c r="E486">
        <v>1.55</v>
      </c>
    </row>
    <row r="487" spans="1:5" hidden="1" x14ac:dyDescent="0.3">
      <c r="A487" t="s">
        <v>325</v>
      </c>
      <c r="B487" t="s">
        <v>326</v>
      </c>
      <c r="C487" s="1">
        <v>41183</v>
      </c>
      <c r="D487" t="s">
        <v>270</v>
      </c>
      <c r="E487">
        <v>1.95</v>
      </c>
    </row>
    <row r="488" spans="1:5" hidden="1" x14ac:dyDescent="0.3">
      <c r="A488" t="s">
        <v>327</v>
      </c>
      <c r="B488" t="s">
        <v>328</v>
      </c>
      <c r="C488" s="1">
        <v>41183</v>
      </c>
      <c r="D488" t="s">
        <v>270</v>
      </c>
      <c r="E488">
        <v>2.17</v>
      </c>
    </row>
    <row r="489" spans="1:5" x14ac:dyDescent="0.3">
      <c r="A489" t="s">
        <v>329</v>
      </c>
      <c r="B489" t="s">
        <v>330</v>
      </c>
      <c r="C489" s="1">
        <v>41183</v>
      </c>
      <c r="D489" t="s">
        <v>270</v>
      </c>
      <c r="E489">
        <v>119.18</v>
      </c>
    </row>
    <row r="490" spans="1:5" hidden="1" x14ac:dyDescent="0.3">
      <c r="A490" t="s">
        <v>331</v>
      </c>
      <c r="B490" t="s">
        <v>332</v>
      </c>
      <c r="C490" s="1">
        <v>41183</v>
      </c>
      <c r="D490" t="s">
        <v>270</v>
      </c>
      <c r="E490">
        <v>4.2300000000000004</v>
      </c>
    </row>
    <row r="491" spans="1:5" hidden="1" x14ac:dyDescent="0.3">
      <c r="A491" t="s">
        <v>333</v>
      </c>
      <c r="B491" t="s">
        <v>334</v>
      </c>
      <c r="C491" s="1">
        <v>41183</v>
      </c>
      <c r="D491" t="s">
        <v>270</v>
      </c>
      <c r="E491">
        <v>-13.73</v>
      </c>
    </row>
    <row r="492" spans="1:5" hidden="1" x14ac:dyDescent="0.3">
      <c r="A492" t="s">
        <v>335</v>
      </c>
      <c r="B492" t="s">
        <v>336</v>
      </c>
      <c r="C492" s="1">
        <v>41183</v>
      </c>
      <c r="D492" t="s">
        <v>270</v>
      </c>
      <c r="E492">
        <v>22.53</v>
      </c>
    </row>
    <row r="493" spans="1:5" hidden="1" x14ac:dyDescent="0.3">
      <c r="A493" t="s">
        <v>337</v>
      </c>
      <c r="B493" t="s">
        <v>338</v>
      </c>
      <c r="C493" s="1">
        <v>41183</v>
      </c>
      <c r="D493" t="s">
        <v>270</v>
      </c>
      <c r="E493">
        <v>1.62</v>
      </c>
    </row>
    <row r="494" spans="1:5" hidden="1" x14ac:dyDescent="0.3">
      <c r="A494" t="s">
        <v>371</v>
      </c>
      <c r="B494" t="s">
        <v>372</v>
      </c>
      <c r="C494" s="1">
        <v>41183</v>
      </c>
      <c r="D494" t="s">
        <v>270</v>
      </c>
      <c r="E494">
        <v>-9.65</v>
      </c>
    </row>
    <row r="495" spans="1:5" hidden="1" x14ac:dyDescent="0.3">
      <c r="A495" t="s">
        <v>5</v>
      </c>
      <c r="B495" t="s">
        <v>6</v>
      </c>
      <c r="C495" s="1">
        <v>41091</v>
      </c>
      <c r="D495" t="s">
        <v>269</v>
      </c>
      <c r="E495">
        <v>2.57</v>
      </c>
    </row>
    <row r="496" spans="1:5" hidden="1" x14ac:dyDescent="0.3">
      <c r="A496" t="s">
        <v>325</v>
      </c>
      <c r="B496" t="s">
        <v>326</v>
      </c>
      <c r="C496" s="1">
        <v>41091</v>
      </c>
      <c r="D496" t="s">
        <v>269</v>
      </c>
      <c r="E496">
        <v>2.02</v>
      </c>
    </row>
    <row r="497" spans="1:5" hidden="1" x14ac:dyDescent="0.3">
      <c r="A497" t="s">
        <v>327</v>
      </c>
      <c r="B497" t="s">
        <v>328</v>
      </c>
      <c r="C497" s="1">
        <v>41091</v>
      </c>
      <c r="D497" t="s">
        <v>269</v>
      </c>
      <c r="E497">
        <v>2.54</v>
      </c>
    </row>
    <row r="498" spans="1:5" x14ac:dyDescent="0.3">
      <c r="A498" t="s">
        <v>329</v>
      </c>
      <c r="B498" t="s">
        <v>330</v>
      </c>
      <c r="C498" s="1">
        <v>41091</v>
      </c>
      <c r="D498" t="s">
        <v>269</v>
      </c>
      <c r="E498">
        <v>72.290000000000006</v>
      </c>
    </row>
    <row r="499" spans="1:5" hidden="1" x14ac:dyDescent="0.3">
      <c r="A499" t="s">
        <v>331</v>
      </c>
      <c r="B499" t="s">
        <v>332</v>
      </c>
      <c r="C499" s="1">
        <v>41091</v>
      </c>
      <c r="D499" t="s">
        <v>269</v>
      </c>
      <c r="E499">
        <v>4.47</v>
      </c>
    </row>
    <row r="500" spans="1:5" hidden="1" x14ac:dyDescent="0.3">
      <c r="A500" t="s">
        <v>333</v>
      </c>
      <c r="B500" t="s">
        <v>334</v>
      </c>
      <c r="C500" s="1">
        <v>41091</v>
      </c>
      <c r="D500" t="s">
        <v>269</v>
      </c>
      <c r="E500">
        <v>-7.45</v>
      </c>
    </row>
    <row r="501" spans="1:5" hidden="1" x14ac:dyDescent="0.3">
      <c r="A501" t="s">
        <v>335</v>
      </c>
      <c r="B501" t="s">
        <v>336</v>
      </c>
      <c r="C501" s="1">
        <v>41091</v>
      </c>
      <c r="D501" t="s">
        <v>269</v>
      </c>
      <c r="E501">
        <v>25.64</v>
      </c>
    </row>
    <row r="502" spans="1:5" hidden="1" x14ac:dyDescent="0.3">
      <c r="A502" t="s">
        <v>337</v>
      </c>
      <c r="B502" t="s">
        <v>338</v>
      </c>
      <c r="C502" s="1">
        <v>41091</v>
      </c>
      <c r="D502" t="s">
        <v>269</v>
      </c>
      <c r="E502">
        <v>1.65</v>
      </c>
    </row>
    <row r="503" spans="1:5" hidden="1" x14ac:dyDescent="0.3">
      <c r="A503" t="s">
        <v>371</v>
      </c>
      <c r="B503" t="s">
        <v>372</v>
      </c>
      <c r="C503" s="1">
        <v>41091</v>
      </c>
      <c r="D503" t="s">
        <v>269</v>
      </c>
      <c r="E503">
        <v>-10.74</v>
      </c>
    </row>
    <row r="504" spans="1:5" hidden="1" x14ac:dyDescent="0.3">
      <c r="A504" t="s">
        <v>5</v>
      </c>
      <c r="B504" t="s">
        <v>6</v>
      </c>
      <c r="C504" s="1">
        <v>41000</v>
      </c>
      <c r="D504" t="s">
        <v>268</v>
      </c>
      <c r="E504">
        <v>2.4</v>
      </c>
    </row>
    <row r="505" spans="1:5" hidden="1" x14ac:dyDescent="0.3">
      <c r="A505" t="s">
        <v>325</v>
      </c>
      <c r="B505" t="s">
        <v>326</v>
      </c>
      <c r="C505" s="1">
        <v>41000</v>
      </c>
      <c r="D505" t="s">
        <v>268</v>
      </c>
      <c r="E505">
        <v>2.25</v>
      </c>
    </row>
    <row r="506" spans="1:5" hidden="1" x14ac:dyDescent="0.3">
      <c r="A506" t="s">
        <v>327</v>
      </c>
      <c r="B506" t="s">
        <v>328</v>
      </c>
      <c r="C506" s="1">
        <v>41000</v>
      </c>
      <c r="D506" t="s">
        <v>268</v>
      </c>
      <c r="E506">
        <v>2.65</v>
      </c>
    </row>
    <row r="507" spans="1:5" x14ac:dyDescent="0.3">
      <c r="A507" t="s">
        <v>329</v>
      </c>
      <c r="B507" t="s">
        <v>330</v>
      </c>
      <c r="C507" s="1">
        <v>41000</v>
      </c>
      <c r="D507" t="s">
        <v>268</v>
      </c>
      <c r="E507">
        <v>64.52</v>
      </c>
    </row>
    <row r="508" spans="1:5" hidden="1" x14ac:dyDescent="0.3">
      <c r="A508" t="s">
        <v>331</v>
      </c>
      <c r="B508" t="s">
        <v>332</v>
      </c>
      <c r="C508" s="1">
        <v>41000</v>
      </c>
      <c r="D508" t="s">
        <v>268</v>
      </c>
      <c r="E508">
        <v>4.5</v>
      </c>
    </row>
    <row r="509" spans="1:5" hidden="1" x14ac:dyDescent="0.3">
      <c r="A509" t="s">
        <v>333</v>
      </c>
      <c r="B509" t="s">
        <v>334</v>
      </c>
      <c r="C509" s="1">
        <v>41000</v>
      </c>
      <c r="D509" t="s">
        <v>268</v>
      </c>
      <c r="E509">
        <v>-4.79</v>
      </c>
    </row>
    <row r="510" spans="1:5" hidden="1" x14ac:dyDescent="0.3">
      <c r="A510" t="s">
        <v>335</v>
      </c>
      <c r="B510" t="s">
        <v>336</v>
      </c>
      <c r="C510" s="1">
        <v>41000</v>
      </c>
      <c r="D510" t="s">
        <v>268</v>
      </c>
      <c r="E510">
        <v>6.17</v>
      </c>
    </row>
    <row r="511" spans="1:5" hidden="1" x14ac:dyDescent="0.3">
      <c r="A511" t="s">
        <v>337</v>
      </c>
      <c r="B511" t="s">
        <v>338</v>
      </c>
      <c r="C511" s="1">
        <v>41000</v>
      </c>
      <c r="D511" t="s">
        <v>268</v>
      </c>
      <c r="E511">
        <v>1.65</v>
      </c>
    </row>
    <row r="512" spans="1:5" hidden="1" x14ac:dyDescent="0.3">
      <c r="A512" t="s">
        <v>371</v>
      </c>
      <c r="B512" t="s">
        <v>372</v>
      </c>
      <c r="C512" s="1">
        <v>41000</v>
      </c>
      <c r="D512" t="s">
        <v>268</v>
      </c>
      <c r="E512">
        <v>-9.56</v>
      </c>
    </row>
    <row r="513" spans="1:5" hidden="1" x14ac:dyDescent="0.3">
      <c r="A513" t="s">
        <v>5</v>
      </c>
      <c r="B513" t="s">
        <v>6</v>
      </c>
      <c r="C513" s="1">
        <v>40909</v>
      </c>
      <c r="D513" t="s">
        <v>267</v>
      </c>
      <c r="E513">
        <v>2.64</v>
      </c>
    </row>
    <row r="514" spans="1:5" hidden="1" x14ac:dyDescent="0.3">
      <c r="A514" t="s">
        <v>325</v>
      </c>
      <c r="B514" t="s">
        <v>326</v>
      </c>
      <c r="C514" s="1">
        <v>40909</v>
      </c>
      <c r="D514" t="s">
        <v>267</v>
      </c>
      <c r="E514">
        <v>2.23</v>
      </c>
    </row>
    <row r="515" spans="1:5" hidden="1" x14ac:dyDescent="0.3">
      <c r="A515" t="s">
        <v>327</v>
      </c>
      <c r="B515" t="s">
        <v>328</v>
      </c>
      <c r="C515" s="1">
        <v>40909</v>
      </c>
      <c r="D515" t="s">
        <v>267</v>
      </c>
      <c r="E515">
        <v>3</v>
      </c>
    </row>
    <row r="516" spans="1:5" x14ac:dyDescent="0.3">
      <c r="A516" t="s">
        <v>329</v>
      </c>
      <c r="B516" t="s">
        <v>330</v>
      </c>
      <c r="C516" s="1">
        <v>40909</v>
      </c>
      <c r="D516" t="s">
        <v>267</v>
      </c>
      <c r="E516">
        <v>-34.39</v>
      </c>
    </row>
    <row r="517" spans="1:5" hidden="1" x14ac:dyDescent="0.3">
      <c r="A517" t="s">
        <v>331</v>
      </c>
      <c r="B517" t="s">
        <v>332</v>
      </c>
      <c r="C517" s="1">
        <v>40909</v>
      </c>
      <c r="D517" t="s">
        <v>267</v>
      </c>
      <c r="E517">
        <v>6.43</v>
      </c>
    </row>
    <row r="518" spans="1:5" hidden="1" x14ac:dyDescent="0.3">
      <c r="A518" t="s">
        <v>333</v>
      </c>
      <c r="B518" t="s">
        <v>334</v>
      </c>
      <c r="C518" s="1">
        <v>40909</v>
      </c>
      <c r="D518" t="s">
        <v>267</v>
      </c>
      <c r="E518">
        <v>3.35</v>
      </c>
    </row>
    <row r="519" spans="1:5" hidden="1" x14ac:dyDescent="0.3">
      <c r="A519" t="s">
        <v>335</v>
      </c>
      <c r="B519" t="s">
        <v>336</v>
      </c>
      <c r="C519" s="1">
        <v>40909</v>
      </c>
      <c r="D519" t="s">
        <v>267</v>
      </c>
      <c r="E519">
        <v>3.33</v>
      </c>
    </row>
    <row r="520" spans="1:5" hidden="1" x14ac:dyDescent="0.3">
      <c r="A520" t="s">
        <v>337</v>
      </c>
      <c r="B520" t="s">
        <v>338</v>
      </c>
      <c r="C520" s="1">
        <v>40909</v>
      </c>
      <c r="D520" t="s">
        <v>267</v>
      </c>
      <c r="E520">
        <v>1.86</v>
      </c>
    </row>
    <row r="521" spans="1:5" hidden="1" x14ac:dyDescent="0.3">
      <c r="A521" t="s">
        <v>371</v>
      </c>
      <c r="B521" t="s">
        <v>372</v>
      </c>
      <c r="C521" s="1">
        <v>40909</v>
      </c>
      <c r="D521" t="s">
        <v>267</v>
      </c>
      <c r="E521">
        <v>-8.48</v>
      </c>
    </row>
    <row r="522" spans="1:5" hidden="1" x14ac:dyDescent="0.3">
      <c r="A522" t="s">
        <v>5</v>
      </c>
      <c r="B522" t="s">
        <v>6</v>
      </c>
      <c r="C522" s="1">
        <v>40817</v>
      </c>
      <c r="D522" t="s">
        <v>266</v>
      </c>
      <c r="E522">
        <v>1.54</v>
      </c>
    </row>
    <row r="523" spans="1:5" hidden="1" x14ac:dyDescent="0.3">
      <c r="A523" t="s">
        <v>325</v>
      </c>
      <c r="B523" t="s">
        <v>326</v>
      </c>
      <c r="C523" s="1">
        <v>40817</v>
      </c>
      <c r="D523" t="s">
        <v>266</v>
      </c>
      <c r="E523">
        <v>2.17</v>
      </c>
    </row>
    <row r="524" spans="1:5" hidden="1" x14ac:dyDescent="0.3">
      <c r="A524" t="s">
        <v>327</v>
      </c>
      <c r="B524" t="s">
        <v>328</v>
      </c>
      <c r="C524" s="1">
        <v>40817</v>
      </c>
      <c r="D524" t="s">
        <v>266</v>
      </c>
      <c r="E524">
        <v>3.02</v>
      </c>
    </row>
    <row r="525" spans="1:5" x14ac:dyDescent="0.3">
      <c r="A525" t="s">
        <v>329</v>
      </c>
      <c r="B525" t="s">
        <v>330</v>
      </c>
      <c r="C525" s="1">
        <v>40817</v>
      </c>
      <c r="D525" t="s">
        <v>266</v>
      </c>
      <c r="E525">
        <v>-60.96</v>
      </c>
    </row>
    <row r="526" spans="1:5" hidden="1" x14ac:dyDescent="0.3">
      <c r="A526" t="s">
        <v>331</v>
      </c>
      <c r="B526" t="s">
        <v>332</v>
      </c>
      <c r="C526" s="1">
        <v>40817</v>
      </c>
      <c r="D526" t="s">
        <v>266</v>
      </c>
      <c r="E526">
        <v>6.68</v>
      </c>
    </row>
    <row r="527" spans="1:5" hidden="1" x14ac:dyDescent="0.3">
      <c r="A527" t="s">
        <v>333</v>
      </c>
      <c r="B527" t="s">
        <v>334</v>
      </c>
      <c r="C527" s="1">
        <v>40817</v>
      </c>
      <c r="D527" t="s">
        <v>266</v>
      </c>
      <c r="E527">
        <v>17.89</v>
      </c>
    </row>
    <row r="528" spans="1:5" hidden="1" x14ac:dyDescent="0.3">
      <c r="A528" t="s">
        <v>335</v>
      </c>
      <c r="B528" t="s">
        <v>336</v>
      </c>
      <c r="C528" s="1">
        <v>40817</v>
      </c>
      <c r="D528" t="s">
        <v>266</v>
      </c>
      <c r="E528">
        <v>-9.07</v>
      </c>
    </row>
    <row r="529" spans="1:5" hidden="1" x14ac:dyDescent="0.3">
      <c r="A529" t="s">
        <v>337</v>
      </c>
      <c r="B529" t="s">
        <v>338</v>
      </c>
      <c r="C529" s="1">
        <v>40817</v>
      </c>
      <c r="D529" t="s">
        <v>266</v>
      </c>
      <c r="E529">
        <v>1.51</v>
      </c>
    </row>
    <row r="530" spans="1:5" hidden="1" x14ac:dyDescent="0.3">
      <c r="A530" t="s">
        <v>371</v>
      </c>
      <c r="B530" t="s">
        <v>372</v>
      </c>
      <c r="C530" s="1">
        <v>40817</v>
      </c>
      <c r="D530" t="s">
        <v>266</v>
      </c>
      <c r="E530">
        <v>-9.1300000000000008</v>
      </c>
    </row>
    <row r="531" spans="1:5" hidden="1" x14ac:dyDescent="0.3">
      <c r="A531" t="s">
        <v>5</v>
      </c>
      <c r="B531" t="s">
        <v>6</v>
      </c>
      <c r="C531" s="1">
        <v>40725</v>
      </c>
      <c r="D531" t="s">
        <v>265</v>
      </c>
      <c r="E531">
        <v>0.94</v>
      </c>
    </row>
    <row r="532" spans="1:5" hidden="1" x14ac:dyDescent="0.3">
      <c r="A532" t="s">
        <v>325</v>
      </c>
      <c r="B532" t="s">
        <v>326</v>
      </c>
      <c r="C532" s="1">
        <v>40725</v>
      </c>
      <c r="D532" t="s">
        <v>265</v>
      </c>
      <c r="E532">
        <v>1.9</v>
      </c>
    </row>
    <row r="533" spans="1:5" hidden="1" x14ac:dyDescent="0.3">
      <c r="A533" t="s">
        <v>327</v>
      </c>
      <c r="B533" t="s">
        <v>328</v>
      </c>
      <c r="C533" s="1">
        <v>40725</v>
      </c>
      <c r="D533" t="s">
        <v>265</v>
      </c>
      <c r="E533">
        <v>2.64</v>
      </c>
    </row>
    <row r="534" spans="1:5" x14ac:dyDescent="0.3">
      <c r="A534" t="s">
        <v>329</v>
      </c>
      <c r="B534" t="s">
        <v>330</v>
      </c>
      <c r="C534" s="1">
        <v>40725</v>
      </c>
      <c r="D534" t="s">
        <v>265</v>
      </c>
      <c r="E534">
        <v>-55.61</v>
      </c>
    </row>
    <row r="535" spans="1:5" hidden="1" x14ac:dyDescent="0.3">
      <c r="A535" t="s">
        <v>331</v>
      </c>
      <c r="B535" t="s">
        <v>332</v>
      </c>
      <c r="C535" s="1">
        <v>40725</v>
      </c>
      <c r="D535" t="s">
        <v>265</v>
      </c>
      <c r="E535">
        <v>7.85</v>
      </c>
    </row>
    <row r="536" spans="1:5" hidden="1" x14ac:dyDescent="0.3">
      <c r="A536" t="s">
        <v>333</v>
      </c>
      <c r="B536" t="s">
        <v>334</v>
      </c>
      <c r="C536" s="1">
        <v>40725</v>
      </c>
      <c r="D536" t="s">
        <v>265</v>
      </c>
      <c r="E536">
        <v>1.78</v>
      </c>
    </row>
    <row r="537" spans="1:5" hidden="1" x14ac:dyDescent="0.3">
      <c r="A537" t="s">
        <v>335</v>
      </c>
      <c r="B537" t="s">
        <v>336</v>
      </c>
      <c r="C537" s="1">
        <v>40725</v>
      </c>
      <c r="D537" t="s">
        <v>265</v>
      </c>
      <c r="E537">
        <v>-12.64</v>
      </c>
    </row>
    <row r="538" spans="1:5" hidden="1" x14ac:dyDescent="0.3">
      <c r="A538" t="s">
        <v>337</v>
      </c>
      <c r="B538" t="s">
        <v>338</v>
      </c>
      <c r="C538" s="1">
        <v>40725</v>
      </c>
      <c r="D538" t="s">
        <v>265</v>
      </c>
      <c r="E538">
        <v>1.35</v>
      </c>
    </row>
    <row r="539" spans="1:5" hidden="1" x14ac:dyDescent="0.3">
      <c r="A539" t="s">
        <v>371</v>
      </c>
      <c r="B539" t="s">
        <v>372</v>
      </c>
      <c r="C539" s="1">
        <v>40725</v>
      </c>
      <c r="D539" t="s">
        <v>265</v>
      </c>
      <c r="E539">
        <v>-4.93</v>
      </c>
    </row>
    <row r="540" spans="1:5" hidden="1" x14ac:dyDescent="0.3">
      <c r="A540" t="s">
        <v>5</v>
      </c>
      <c r="B540" t="s">
        <v>6</v>
      </c>
      <c r="C540" s="1">
        <v>40634</v>
      </c>
      <c r="D540" t="s">
        <v>264</v>
      </c>
      <c r="E540">
        <v>1.74</v>
      </c>
    </row>
    <row r="541" spans="1:5" hidden="1" x14ac:dyDescent="0.3">
      <c r="A541" t="s">
        <v>325</v>
      </c>
      <c r="B541" t="s">
        <v>326</v>
      </c>
      <c r="C541" s="1">
        <v>40634</v>
      </c>
      <c r="D541" t="s">
        <v>264</v>
      </c>
      <c r="E541">
        <v>1.45</v>
      </c>
    </row>
    <row r="542" spans="1:5" hidden="1" x14ac:dyDescent="0.3">
      <c r="A542" t="s">
        <v>327</v>
      </c>
      <c r="B542" t="s">
        <v>328</v>
      </c>
      <c r="C542" s="1">
        <v>40634</v>
      </c>
      <c r="D542" t="s">
        <v>264</v>
      </c>
      <c r="E542">
        <v>2.21</v>
      </c>
    </row>
    <row r="543" spans="1:5" x14ac:dyDescent="0.3">
      <c r="A543" t="s">
        <v>329</v>
      </c>
      <c r="B543" t="s">
        <v>330</v>
      </c>
      <c r="C543" s="1">
        <v>40634</v>
      </c>
      <c r="D543" t="s">
        <v>264</v>
      </c>
      <c r="E543">
        <v>-51.81</v>
      </c>
    </row>
    <row r="544" spans="1:5" hidden="1" x14ac:dyDescent="0.3">
      <c r="A544" t="s">
        <v>331</v>
      </c>
      <c r="B544" t="s">
        <v>332</v>
      </c>
      <c r="C544" s="1">
        <v>40634</v>
      </c>
      <c r="D544" t="s">
        <v>264</v>
      </c>
      <c r="E544">
        <v>7.44</v>
      </c>
    </row>
    <row r="545" spans="1:5" hidden="1" x14ac:dyDescent="0.3">
      <c r="A545" t="s">
        <v>333</v>
      </c>
      <c r="B545" t="s">
        <v>334</v>
      </c>
      <c r="C545" s="1">
        <v>40634</v>
      </c>
      <c r="D545" t="s">
        <v>264</v>
      </c>
      <c r="E545">
        <v>7.04</v>
      </c>
    </row>
    <row r="546" spans="1:5" hidden="1" x14ac:dyDescent="0.3">
      <c r="A546" t="s">
        <v>335</v>
      </c>
      <c r="B546" t="s">
        <v>336</v>
      </c>
      <c r="C546" s="1">
        <v>40634</v>
      </c>
      <c r="D546" t="s">
        <v>264</v>
      </c>
      <c r="E546">
        <v>-2.79</v>
      </c>
    </row>
    <row r="547" spans="1:5" hidden="1" x14ac:dyDescent="0.3">
      <c r="A547" t="s">
        <v>337</v>
      </c>
      <c r="B547" t="s">
        <v>338</v>
      </c>
      <c r="C547" s="1">
        <v>40634</v>
      </c>
      <c r="D547" t="s">
        <v>264</v>
      </c>
      <c r="E547">
        <v>1.01</v>
      </c>
    </row>
    <row r="548" spans="1:5" hidden="1" x14ac:dyDescent="0.3">
      <c r="A548" t="s">
        <v>371</v>
      </c>
      <c r="B548" t="s">
        <v>372</v>
      </c>
      <c r="C548" s="1">
        <v>40634</v>
      </c>
      <c r="D548" t="s">
        <v>264</v>
      </c>
      <c r="E548">
        <v>-5.88</v>
      </c>
    </row>
    <row r="549" spans="1:5" hidden="1" x14ac:dyDescent="0.3">
      <c r="A549" t="s">
        <v>5</v>
      </c>
      <c r="B549" t="s">
        <v>6</v>
      </c>
      <c r="C549" s="1">
        <v>40544</v>
      </c>
      <c r="D549" t="s">
        <v>263</v>
      </c>
      <c r="E549">
        <v>2.04</v>
      </c>
    </row>
    <row r="550" spans="1:5" hidden="1" x14ac:dyDescent="0.3">
      <c r="A550" t="s">
        <v>325</v>
      </c>
      <c r="B550" t="s">
        <v>326</v>
      </c>
      <c r="C550" s="1">
        <v>40544</v>
      </c>
      <c r="D550" t="s">
        <v>263</v>
      </c>
      <c r="E550">
        <v>1.1100000000000001</v>
      </c>
    </row>
    <row r="551" spans="1:5" hidden="1" x14ac:dyDescent="0.3">
      <c r="A551" t="s">
        <v>327</v>
      </c>
      <c r="B551" t="s">
        <v>328</v>
      </c>
      <c r="C551" s="1">
        <v>40544</v>
      </c>
      <c r="D551" t="s">
        <v>263</v>
      </c>
      <c r="E551">
        <v>1.78</v>
      </c>
    </row>
    <row r="552" spans="1:5" x14ac:dyDescent="0.3">
      <c r="A552" t="s">
        <v>329</v>
      </c>
      <c r="B552" t="s">
        <v>330</v>
      </c>
      <c r="C552" s="1">
        <v>40544</v>
      </c>
      <c r="D552" t="s">
        <v>263</v>
      </c>
      <c r="E552">
        <v>18.05</v>
      </c>
    </row>
    <row r="553" spans="1:5" hidden="1" x14ac:dyDescent="0.3">
      <c r="A553" t="s">
        <v>331</v>
      </c>
      <c r="B553" t="s">
        <v>332</v>
      </c>
      <c r="C553" s="1">
        <v>40544</v>
      </c>
      <c r="D553" t="s">
        <v>263</v>
      </c>
      <c r="E553">
        <v>7.51</v>
      </c>
    </row>
    <row r="554" spans="1:5" hidden="1" x14ac:dyDescent="0.3">
      <c r="A554" t="s">
        <v>333</v>
      </c>
      <c r="B554" t="s">
        <v>334</v>
      </c>
      <c r="C554" s="1">
        <v>40544</v>
      </c>
      <c r="D554" t="s">
        <v>263</v>
      </c>
      <c r="E554">
        <v>14.68</v>
      </c>
    </row>
    <row r="555" spans="1:5" hidden="1" x14ac:dyDescent="0.3">
      <c r="A555" t="s">
        <v>335</v>
      </c>
      <c r="B555" t="s">
        <v>336</v>
      </c>
      <c r="C555" s="1">
        <v>40544</v>
      </c>
      <c r="D555" t="s">
        <v>263</v>
      </c>
      <c r="E555">
        <v>-1.08</v>
      </c>
    </row>
    <row r="556" spans="1:5" hidden="1" x14ac:dyDescent="0.3">
      <c r="A556" t="s">
        <v>337</v>
      </c>
      <c r="B556" t="s">
        <v>338</v>
      </c>
      <c r="C556" s="1">
        <v>40544</v>
      </c>
      <c r="D556" t="s">
        <v>263</v>
      </c>
      <c r="E556">
        <v>0.98</v>
      </c>
    </row>
    <row r="557" spans="1:5" hidden="1" x14ac:dyDescent="0.3">
      <c r="A557" t="s">
        <v>371</v>
      </c>
      <c r="B557" t="s">
        <v>372</v>
      </c>
      <c r="C557" s="1">
        <v>40544</v>
      </c>
      <c r="D557" t="s">
        <v>263</v>
      </c>
      <c r="E557">
        <v>-8.14</v>
      </c>
    </row>
    <row r="558" spans="1:5" hidden="1" x14ac:dyDescent="0.3">
      <c r="A558" t="s">
        <v>5</v>
      </c>
      <c r="B558" t="s">
        <v>6</v>
      </c>
      <c r="C558" s="1">
        <v>40452</v>
      </c>
      <c r="D558" t="s">
        <v>262</v>
      </c>
      <c r="E558">
        <v>2.78</v>
      </c>
    </row>
    <row r="559" spans="1:5" hidden="1" x14ac:dyDescent="0.3">
      <c r="A559" t="s">
        <v>325</v>
      </c>
      <c r="B559" t="s">
        <v>326</v>
      </c>
      <c r="C559" s="1">
        <v>40452</v>
      </c>
      <c r="D559" t="s">
        <v>262</v>
      </c>
      <c r="E559">
        <v>0.65</v>
      </c>
    </row>
    <row r="560" spans="1:5" hidden="1" x14ac:dyDescent="0.3">
      <c r="A560" t="s">
        <v>327</v>
      </c>
      <c r="B560" t="s">
        <v>328</v>
      </c>
      <c r="C560" s="1">
        <v>40452</v>
      </c>
      <c r="D560" t="s">
        <v>262</v>
      </c>
      <c r="E560">
        <v>1.45</v>
      </c>
    </row>
    <row r="561" spans="1:5" x14ac:dyDescent="0.3">
      <c r="A561" t="s">
        <v>329</v>
      </c>
      <c r="B561" t="s">
        <v>330</v>
      </c>
      <c r="C561" s="1">
        <v>40452</v>
      </c>
      <c r="D561" t="s">
        <v>262</v>
      </c>
      <c r="E561">
        <v>55.83</v>
      </c>
    </row>
    <row r="562" spans="1:5" hidden="1" x14ac:dyDescent="0.3">
      <c r="A562" t="s">
        <v>331</v>
      </c>
      <c r="B562" t="s">
        <v>332</v>
      </c>
      <c r="C562" s="1">
        <v>40452</v>
      </c>
      <c r="D562" t="s">
        <v>262</v>
      </c>
      <c r="E562">
        <v>6.63</v>
      </c>
    </row>
    <row r="563" spans="1:5" hidden="1" x14ac:dyDescent="0.3">
      <c r="A563" t="s">
        <v>333</v>
      </c>
      <c r="B563" t="s">
        <v>334</v>
      </c>
      <c r="C563" s="1">
        <v>40452</v>
      </c>
      <c r="D563" t="s">
        <v>262</v>
      </c>
      <c r="E563">
        <v>7.13</v>
      </c>
    </row>
    <row r="564" spans="1:5" hidden="1" x14ac:dyDescent="0.3">
      <c r="A564" t="s">
        <v>335</v>
      </c>
      <c r="B564" t="s">
        <v>336</v>
      </c>
      <c r="C564" s="1">
        <v>40452</v>
      </c>
      <c r="D564" t="s">
        <v>262</v>
      </c>
      <c r="E564">
        <v>1.57</v>
      </c>
    </row>
    <row r="565" spans="1:5" hidden="1" x14ac:dyDescent="0.3">
      <c r="A565" t="s">
        <v>337</v>
      </c>
      <c r="B565" t="s">
        <v>338</v>
      </c>
      <c r="C565" s="1">
        <v>40452</v>
      </c>
      <c r="D565" t="s">
        <v>262</v>
      </c>
      <c r="E565">
        <v>0.57999999999999996</v>
      </c>
    </row>
    <row r="566" spans="1:5" hidden="1" x14ac:dyDescent="0.3">
      <c r="A566" t="s">
        <v>371</v>
      </c>
      <c r="B566" t="s">
        <v>372</v>
      </c>
      <c r="C566" s="1">
        <v>40452</v>
      </c>
      <c r="D566" t="s">
        <v>262</v>
      </c>
      <c r="E566">
        <v>-4.3600000000000003</v>
      </c>
    </row>
    <row r="567" spans="1:5" hidden="1" x14ac:dyDescent="0.3">
      <c r="A567" t="s">
        <v>5</v>
      </c>
      <c r="B567" t="s">
        <v>6</v>
      </c>
      <c r="C567" s="1">
        <v>40360</v>
      </c>
      <c r="D567" t="s">
        <v>261</v>
      </c>
      <c r="E567">
        <v>3.34</v>
      </c>
    </row>
    <row r="568" spans="1:5" hidden="1" x14ac:dyDescent="0.3">
      <c r="A568" t="s">
        <v>325</v>
      </c>
      <c r="B568" t="s">
        <v>326</v>
      </c>
      <c r="C568" s="1">
        <v>40360</v>
      </c>
      <c r="D568" t="s">
        <v>261</v>
      </c>
      <c r="E568">
        <v>0.9</v>
      </c>
    </row>
    <row r="569" spans="1:5" hidden="1" x14ac:dyDescent="0.3">
      <c r="A569" t="s">
        <v>327</v>
      </c>
      <c r="B569" t="s">
        <v>328</v>
      </c>
      <c r="C569" s="1">
        <v>40360</v>
      </c>
      <c r="D569" t="s">
        <v>261</v>
      </c>
      <c r="E569">
        <v>1.38</v>
      </c>
    </row>
    <row r="570" spans="1:5" x14ac:dyDescent="0.3">
      <c r="A570" t="s">
        <v>329</v>
      </c>
      <c r="B570" t="s">
        <v>330</v>
      </c>
      <c r="C570" s="1">
        <v>40360</v>
      </c>
      <c r="D570" t="s">
        <v>261</v>
      </c>
      <c r="E570">
        <v>19.11</v>
      </c>
    </row>
    <row r="571" spans="1:5" hidden="1" x14ac:dyDescent="0.3">
      <c r="A571" t="s">
        <v>331</v>
      </c>
      <c r="B571" t="s">
        <v>332</v>
      </c>
      <c r="C571" s="1">
        <v>40360</v>
      </c>
      <c r="D571" t="s">
        <v>261</v>
      </c>
      <c r="E571">
        <v>4.45</v>
      </c>
    </row>
    <row r="572" spans="1:5" hidden="1" x14ac:dyDescent="0.3">
      <c r="A572" t="s">
        <v>333</v>
      </c>
      <c r="B572" t="s">
        <v>334</v>
      </c>
      <c r="C572" s="1">
        <v>40360</v>
      </c>
      <c r="D572" t="s">
        <v>261</v>
      </c>
      <c r="E572">
        <v>31.39</v>
      </c>
    </row>
    <row r="573" spans="1:5" hidden="1" x14ac:dyDescent="0.3">
      <c r="A573" t="s">
        <v>335</v>
      </c>
      <c r="B573" t="s">
        <v>336</v>
      </c>
      <c r="C573" s="1">
        <v>40360</v>
      </c>
      <c r="D573" t="s">
        <v>261</v>
      </c>
      <c r="E573">
        <v>-0.15</v>
      </c>
    </row>
    <row r="574" spans="1:5" hidden="1" x14ac:dyDescent="0.3">
      <c r="A574" t="s">
        <v>337</v>
      </c>
      <c r="B574" t="s">
        <v>338</v>
      </c>
      <c r="C574" s="1">
        <v>40360</v>
      </c>
      <c r="D574" t="s">
        <v>261</v>
      </c>
      <c r="E574">
        <v>-0.05</v>
      </c>
    </row>
    <row r="575" spans="1:5" hidden="1" x14ac:dyDescent="0.3">
      <c r="A575" t="s">
        <v>371</v>
      </c>
      <c r="B575" t="s">
        <v>372</v>
      </c>
      <c r="C575" s="1">
        <v>40360</v>
      </c>
      <c r="D575" t="s">
        <v>261</v>
      </c>
      <c r="E575">
        <v>-1.72</v>
      </c>
    </row>
    <row r="576" spans="1:5" hidden="1" x14ac:dyDescent="0.3">
      <c r="A576" t="s">
        <v>5</v>
      </c>
      <c r="B576" t="s">
        <v>6</v>
      </c>
      <c r="C576" s="1">
        <v>40269</v>
      </c>
      <c r="D576" t="s">
        <v>260</v>
      </c>
      <c r="E576">
        <v>2.91</v>
      </c>
    </row>
    <row r="577" spans="1:5" hidden="1" x14ac:dyDescent="0.3">
      <c r="A577" t="s">
        <v>325</v>
      </c>
      <c r="B577" t="s">
        <v>326</v>
      </c>
      <c r="C577" s="1">
        <v>40269</v>
      </c>
      <c r="D577" t="s">
        <v>260</v>
      </c>
      <c r="E577">
        <v>0.95</v>
      </c>
    </row>
    <row r="578" spans="1:5" hidden="1" x14ac:dyDescent="0.3">
      <c r="A578" t="s">
        <v>327</v>
      </c>
      <c r="B578" t="s">
        <v>328</v>
      </c>
      <c r="C578" s="1">
        <v>40269</v>
      </c>
      <c r="D578" t="s">
        <v>260</v>
      </c>
      <c r="E578">
        <v>1.0900000000000001</v>
      </c>
    </row>
    <row r="579" spans="1:5" x14ac:dyDescent="0.3">
      <c r="A579" t="s">
        <v>329</v>
      </c>
      <c r="B579" t="s">
        <v>330</v>
      </c>
      <c r="C579" s="1">
        <v>40269</v>
      </c>
      <c r="D579" t="s">
        <v>260</v>
      </c>
      <c r="E579">
        <v>7.22</v>
      </c>
    </row>
    <row r="580" spans="1:5" hidden="1" x14ac:dyDescent="0.3">
      <c r="A580" t="s">
        <v>331</v>
      </c>
      <c r="B580" t="s">
        <v>332</v>
      </c>
      <c r="C580" s="1">
        <v>40269</v>
      </c>
      <c r="D580" t="s">
        <v>260</v>
      </c>
      <c r="E580">
        <v>6.07</v>
      </c>
    </row>
    <row r="581" spans="1:5" hidden="1" x14ac:dyDescent="0.3">
      <c r="A581" t="s">
        <v>333</v>
      </c>
      <c r="B581" t="s">
        <v>334</v>
      </c>
      <c r="C581" s="1">
        <v>40269</v>
      </c>
      <c r="D581" t="s">
        <v>260</v>
      </c>
      <c r="E581">
        <v>58.37</v>
      </c>
    </row>
    <row r="582" spans="1:5" hidden="1" x14ac:dyDescent="0.3">
      <c r="A582" t="s">
        <v>335</v>
      </c>
      <c r="B582" t="s">
        <v>336</v>
      </c>
      <c r="C582" s="1">
        <v>40269</v>
      </c>
      <c r="D582" t="s">
        <v>260</v>
      </c>
      <c r="E582">
        <v>8.41</v>
      </c>
    </row>
    <row r="583" spans="1:5" hidden="1" x14ac:dyDescent="0.3">
      <c r="A583" t="s">
        <v>337</v>
      </c>
      <c r="B583" t="s">
        <v>338</v>
      </c>
      <c r="C583" s="1">
        <v>40269</v>
      </c>
      <c r="D583" t="s">
        <v>260</v>
      </c>
      <c r="E583">
        <v>-0.77</v>
      </c>
    </row>
    <row r="584" spans="1:5" hidden="1" x14ac:dyDescent="0.3">
      <c r="A584" t="s">
        <v>371</v>
      </c>
      <c r="B584" t="s">
        <v>372</v>
      </c>
      <c r="C584" s="1">
        <v>40269</v>
      </c>
      <c r="D584" t="s">
        <v>260</v>
      </c>
      <c r="E584">
        <v>3.58</v>
      </c>
    </row>
    <row r="585" spans="1:5" hidden="1" x14ac:dyDescent="0.3">
      <c r="A585" t="s">
        <v>5</v>
      </c>
      <c r="B585" t="s">
        <v>6</v>
      </c>
      <c r="C585" s="1">
        <v>40179</v>
      </c>
      <c r="D585" t="s">
        <v>259</v>
      </c>
      <c r="E585">
        <v>1.75</v>
      </c>
    </row>
    <row r="586" spans="1:5" hidden="1" x14ac:dyDescent="0.3">
      <c r="A586" t="s">
        <v>325</v>
      </c>
      <c r="B586" t="s">
        <v>326</v>
      </c>
      <c r="C586" s="1">
        <v>40179</v>
      </c>
      <c r="D586" t="s">
        <v>259</v>
      </c>
      <c r="E586">
        <v>1.34</v>
      </c>
    </row>
    <row r="587" spans="1:5" hidden="1" x14ac:dyDescent="0.3">
      <c r="A587" t="s">
        <v>327</v>
      </c>
      <c r="B587" t="s">
        <v>328</v>
      </c>
      <c r="C587" s="1">
        <v>40179</v>
      </c>
      <c r="D587" t="s">
        <v>259</v>
      </c>
      <c r="E587">
        <v>0.99</v>
      </c>
    </row>
    <row r="588" spans="1:5" x14ac:dyDescent="0.3">
      <c r="A588" t="s">
        <v>329</v>
      </c>
      <c r="B588" t="s">
        <v>330</v>
      </c>
      <c r="C588" s="1">
        <v>40179</v>
      </c>
      <c r="D588" t="s">
        <v>259</v>
      </c>
      <c r="E588">
        <v>-27.32</v>
      </c>
    </row>
    <row r="589" spans="1:5" hidden="1" x14ac:dyDescent="0.3">
      <c r="A589" t="s">
        <v>331</v>
      </c>
      <c r="B589" t="s">
        <v>332</v>
      </c>
      <c r="C589" s="1">
        <v>40179</v>
      </c>
      <c r="D589" t="s">
        <v>259</v>
      </c>
      <c r="E589">
        <v>4.57</v>
      </c>
    </row>
    <row r="590" spans="1:5" hidden="1" x14ac:dyDescent="0.3">
      <c r="A590" t="s">
        <v>333</v>
      </c>
      <c r="B590" t="s">
        <v>334</v>
      </c>
      <c r="C590" s="1">
        <v>40179</v>
      </c>
      <c r="D590" t="s">
        <v>259</v>
      </c>
      <c r="E590">
        <v>22.72</v>
      </c>
    </row>
    <row r="591" spans="1:5" hidden="1" x14ac:dyDescent="0.3">
      <c r="A591" t="s">
        <v>335</v>
      </c>
      <c r="B591" t="s">
        <v>336</v>
      </c>
      <c r="C591" s="1">
        <v>40179</v>
      </c>
      <c r="D591" t="s">
        <v>259</v>
      </c>
      <c r="E591">
        <v>26.77</v>
      </c>
    </row>
    <row r="592" spans="1:5" hidden="1" x14ac:dyDescent="0.3">
      <c r="A592" t="s">
        <v>337</v>
      </c>
      <c r="B592" t="s">
        <v>338</v>
      </c>
      <c r="C592" s="1">
        <v>40179</v>
      </c>
      <c r="D592" t="s">
        <v>259</v>
      </c>
      <c r="E592">
        <v>-2.63</v>
      </c>
    </row>
    <row r="593" spans="1:5" hidden="1" x14ac:dyDescent="0.3">
      <c r="A593" t="s">
        <v>371</v>
      </c>
      <c r="B593" t="s">
        <v>372</v>
      </c>
      <c r="C593" s="1">
        <v>40179</v>
      </c>
      <c r="D593" t="s">
        <v>259</v>
      </c>
      <c r="E593">
        <v>18.940000000000001</v>
      </c>
    </row>
    <row r="594" spans="1:5" hidden="1" x14ac:dyDescent="0.3">
      <c r="A594" t="s">
        <v>5</v>
      </c>
      <c r="B594" t="s">
        <v>6</v>
      </c>
      <c r="C594" s="1">
        <v>40087</v>
      </c>
      <c r="D594" t="s">
        <v>258</v>
      </c>
      <c r="E594">
        <v>0.11</v>
      </c>
    </row>
    <row r="595" spans="1:5" hidden="1" x14ac:dyDescent="0.3">
      <c r="A595" t="s">
        <v>325</v>
      </c>
      <c r="B595" t="s">
        <v>326</v>
      </c>
      <c r="C595" s="1">
        <v>40087</v>
      </c>
      <c r="D595" t="s">
        <v>258</v>
      </c>
      <c r="E595">
        <v>1.75</v>
      </c>
    </row>
    <row r="596" spans="1:5" hidden="1" x14ac:dyDescent="0.3">
      <c r="A596" t="s">
        <v>327</v>
      </c>
      <c r="B596" t="s">
        <v>328</v>
      </c>
      <c r="C596" s="1">
        <v>40087</v>
      </c>
      <c r="D596" t="s">
        <v>258</v>
      </c>
      <c r="E596">
        <v>0.78</v>
      </c>
    </row>
    <row r="597" spans="1:5" x14ac:dyDescent="0.3">
      <c r="A597" t="s">
        <v>329</v>
      </c>
      <c r="B597" t="s">
        <v>330</v>
      </c>
      <c r="C597" s="1">
        <v>40087</v>
      </c>
      <c r="D597" t="s">
        <v>258</v>
      </c>
      <c r="E597">
        <v>-76.33</v>
      </c>
    </row>
    <row r="598" spans="1:5" hidden="1" x14ac:dyDescent="0.3">
      <c r="A598" t="s">
        <v>331</v>
      </c>
      <c r="B598" t="s">
        <v>332</v>
      </c>
      <c r="C598" s="1">
        <v>40087</v>
      </c>
      <c r="D598" t="s">
        <v>258</v>
      </c>
      <c r="E598">
        <v>0.72</v>
      </c>
    </row>
    <row r="599" spans="1:5" hidden="1" x14ac:dyDescent="0.3">
      <c r="A599" t="s">
        <v>333</v>
      </c>
      <c r="B599" t="s">
        <v>334</v>
      </c>
      <c r="C599" s="1">
        <v>40087</v>
      </c>
      <c r="D599" t="s">
        <v>258</v>
      </c>
      <c r="E599">
        <v>-25.1</v>
      </c>
    </row>
    <row r="600" spans="1:5" hidden="1" x14ac:dyDescent="0.3">
      <c r="A600" t="s">
        <v>335</v>
      </c>
      <c r="B600" t="s">
        <v>336</v>
      </c>
      <c r="C600" s="1">
        <v>40087</v>
      </c>
      <c r="D600" t="s">
        <v>258</v>
      </c>
      <c r="E600">
        <v>21.68</v>
      </c>
    </row>
    <row r="601" spans="1:5" hidden="1" x14ac:dyDescent="0.3">
      <c r="A601" t="s">
        <v>337</v>
      </c>
      <c r="B601" t="s">
        <v>338</v>
      </c>
      <c r="C601" s="1">
        <v>40087</v>
      </c>
      <c r="D601" t="s">
        <v>258</v>
      </c>
      <c r="E601">
        <v>-4.12</v>
      </c>
    </row>
    <row r="602" spans="1:5" hidden="1" x14ac:dyDescent="0.3">
      <c r="A602" t="s">
        <v>371</v>
      </c>
      <c r="B602" t="s">
        <v>372</v>
      </c>
      <c r="C602" s="1">
        <v>40087</v>
      </c>
      <c r="D602" t="s">
        <v>258</v>
      </c>
      <c r="E602">
        <v>44.65</v>
      </c>
    </row>
    <row r="603" spans="1:5" hidden="1" x14ac:dyDescent="0.3">
      <c r="A603" t="s">
        <v>5</v>
      </c>
      <c r="B603" t="s">
        <v>6</v>
      </c>
      <c r="C603" s="1">
        <v>39995</v>
      </c>
      <c r="D603" t="s">
        <v>257</v>
      </c>
      <c r="E603">
        <v>-3.13</v>
      </c>
    </row>
    <row r="604" spans="1:5" hidden="1" x14ac:dyDescent="0.3">
      <c r="A604" t="s">
        <v>325</v>
      </c>
      <c r="B604" t="s">
        <v>326</v>
      </c>
      <c r="C604" s="1">
        <v>39995</v>
      </c>
      <c r="D604" t="s">
        <v>257</v>
      </c>
      <c r="E604">
        <v>1.48</v>
      </c>
    </row>
    <row r="605" spans="1:5" hidden="1" x14ac:dyDescent="0.3">
      <c r="A605" t="s">
        <v>327</v>
      </c>
      <c r="B605" t="s">
        <v>328</v>
      </c>
      <c r="C605" s="1">
        <v>39995</v>
      </c>
      <c r="D605" t="s">
        <v>257</v>
      </c>
      <c r="E605">
        <v>2.06</v>
      </c>
    </row>
    <row r="606" spans="1:5" x14ac:dyDescent="0.3">
      <c r="A606" t="s">
        <v>329</v>
      </c>
      <c r="B606" t="s">
        <v>330</v>
      </c>
      <c r="C606" s="1">
        <v>39995</v>
      </c>
      <c r="D606" t="s">
        <v>257</v>
      </c>
      <c r="E606">
        <v>-91.91</v>
      </c>
    </row>
    <row r="607" spans="1:5" hidden="1" x14ac:dyDescent="0.3">
      <c r="A607" t="s">
        <v>331</v>
      </c>
      <c r="B607" t="s">
        <v>332</v>
      </c>
      <c r="C607" s="1">
        <v>39995</v>
      </c>
      <c r="D607" t="s">
        <v>257</v>
      </c>
      <c r="E607">
        <v>-7.97</v>
      </c>
    </row>
    <row r="608" spans="1:5" hidden="1" x14ac:dyDescent="0.3">
      <c r="A608" t="s">
        <v>333</v>
      </c>
      <c r="B608" t="s">
        <v>334</v>
      </c>
      <c r="C608" s="1">
        <v>39995</v>
      </c>
      <c r="D608" t="s">
        <v>257</v>
      </c>
      <c r="E608">
        <v>-47.85</v>
      </c>
    </row>
    <row r="609" spans="1:5" hidden="1" x14ac:dyDescent="0.3">
      <c r="A609" t="s">
        <v>335</v>
      </c>
      <c r="B609" t="s">
        <v>336</v>
      </c>
      <c r="C609" s="1">
        <v>39995</v>
      </c>
      <c r="D609" t="s">
        <v>257</v>
      </c>
      <c r="E609">
        <v>5.5</v>
      </c>
    </row>
    <row r="610" spans="1:5" hidden="1" x14ac:dyDescent="0.3">
      <c r="A610" t="s">
        <v>337</v>
      </c>
      <c r="B610" t="s">
        <v>338</v>
      </c>
      <c r="C610" s="1">
        <v>39995</v>
      </c>
      <c r="D610" t="s">
        <v>257</v>
      </c>
      <c r="E610">
        <v>-4.88</v>
      </c>
    </row>
    <row r="611" spans="1:5" hidden="1" x14ac:dyDescent="0.3">
      <c r="A611" t="s">
        <v>371</v>
      </c>
      <c r="B611" t="s">
        <v>372</v>
      </c>
      <c r="C611" s="1">
        <v>39995</v>
      </c>
      <c r="D611" t="s">
        <v>257</v>
      </c>
      <c r="E611">
        <v>60.55</v>
      </c>
    </row>
    <row r="612" spans="1:5" hidden="1" x14ac:dyDescent="0.3">
      <c r="A612" t="s">
        <v>5</v>
      </c>
      <c r="B612" t="s">
        <v>6</v>
      </c>
      <c r="C612" s="1">
        <v>39904</v>
      </c>
      <c r="D612" t="s">
        <v>256</v>
      </c>
      <c r="E612">
        <v>-3.98</v>
      </c>
    </row>
    <row r="613" spans="1:5" hidden="1" x14ac:dyDescent="0.3">
      <c r="A613" t="s">
        <v>325</v>
      </c>
      <c r="B613" t="s">
        <v>326</v>
      </c>
      <c r="C613" s="1">
        <v>39904</v>
      </c>
      <c r="D613" t="s">
        <v>256</v>
      </c>
      <c r="E613">
        <v>1.83</v>
      </c>
    </row>
    <row r="614" spans="1:5" hidden="1" x14ac:dyDescent="0.3">
      <c r="A614" t="s">
        <v>327</v>
      </c>
      <c r="B614" t="s">
        <v>328</v>
      </c>
      <c r="C614" s="1">
        <v>39904</v>
      </c>
      <c r="D614" t="s">
        <v>256</v>
      </c>
      <c r="E614">
        <v>3.13</v>
      </c>
    </row>
    <row r="615" spans="1:5" x14ac:dyDescent="0.3">
      <c r="A615" t="s">
        <v>329</v>
      </c>
      <c r="B615" t="s">
        <v>330</v>
      </c>
      <c r="C615" s="1">
        <v>39904</v>
      </c>
      <c r="D615" t="s">
        <v>256</v>
      </c>
      <c r="E615">
        <v>-91.38</v>
      </c>
    </row>
    <row r="616" spans="1:5" hidden="1" x14ac:dyDescent="0.3">
      <c r="A616" t="s">
        <v>331</v>
      </c>
      <c r="B616" t="s">
        <v>332</v>
      </c>
      <c r="C616" s="1">
        <v>39904</v>
      </c>
      <c r="D616" t="s">
        <v>256</v>
      </c>
      <c r="E616">
        <v>-10.75</v>
      </c>
    </row>
    <row r="617" spans="1:5" hidden="1" x14ac:dyDescent="0.3">
      <c r="A617" t="s">
        <v>333</v>
      </c>
      <c r="B617" t="s">
        <v>334</v>
      </c>
      <c r="C617" s="1">
        <v>39904</v>
      </c>
      <c r="D617" t="s">
        <v>256</v>
      </c>
      <c r="E617">
        <v>-56.24</v>
      </c>
    </row>
    <row r="618" spans="1:5" hidden="1" x14ac:dyDescent="0.3">
      <c r="A618" t="s">
        <v>335</v>
      </c>
      <c r="B618" t="s">
        <v>336</v>
      </c>
      <c r="C618" s="1">
        <v>39904</v>
      </c>
      <c r="D618" t="s">
        <v>256</v>
      </c>
      <c r="E618">
        <v>14.43</v>
      </c>
    </row>
    <row r="619" spans="1:5" hidden="1" x14ac:dyDescent="0.3">
      <c r="A619" t="s">
        <v>337</v>
      </c>
      <c r="B619" t="s">
        <v>338</v>
      </c>
      <c r="C619" s="1">
        <v>39904</v>
      </c>
      <c r="D619" t="s">
        <v>256</v>
      </c>
      <c r="E619">
        <v>-4.67</v>
      </c>
    </row>
    <row r="620" spans="1:5" hidden="1" x14ac:dyDescent="0.3">
      <c r="A620" t="s">
        <v>371</v>
      </c>
      <c r="B620" t="s">
        <v>372</v>
      </c>
      <c r="C620" s="1">
        <v>39904</v>
      </c>
      <c r="D620" t="s">
        <v>256</v>
      </c>
      <c r="E620">
        <v>74.39</v>
      </c>
    </row>
    <row r="621" spans="1:5" hidden="1" x14ac:dyDescent="0.3">
      <c r="A621" t="s">
        <v>5</v>
      </c>
      <c r="B621" t="s">
        <v>6</v>
      </c>
      <c r="C621" s="1">
        <v>39814</v>
      </c>
      <c r="D621" t="s">
        <v>255</v>
      </c>
      <c r="E621">
        <v>-3.23</v>
      </c>
    </row>
    <row r="622" spans="1:5" hidden="1" x14ac:dyDescent="0.3">
      <c r="A622" t="s">
        <v>325</v>
      </c>
      <c r="B622" t="s">
        <v>326</v>
      </c>
      <c r="C622" s="1">
        <v>39814</v>
      </c>
      <c r="D622" t="s">
        <v>255</v>
      </c>
      <c r="E622">
        <v>1.75</v>
      </c>
    </row>
    <row r="623" spans="1:5" hidden="1" x14ac:dyDescent="0.3">
      <c r="A623" t="s">
        <v>327</v>
      </c>
      <c r="B623" t="s">
        <v>328</v>
      </c>
      <c r="C623" s="1">
        <v>39814</v>
      </c>
      <c r="D623" t="s">
        <v>255</v>
      </c>
      <c r="E623">
        <v>3.83</v>
      </c>
    </row>
    <row r="624" spans="1:5" x14ac:dyDescent="0.3">
      <c r="A624" t="s">
        <v>329</v>
      </c>
      <c r="B624" t="s">
        <v>330</v>
      </c>
      <c r="C624" s="1">
        <v>39814</v>
      </c>
      <c r="D624" t="s">
        <v>255</v>
      </c>
      <c r="E624">
        <v>-94.24</v>
      </c>
    </row>
    <row r="625" spans="1:5" hidden="1" x14ac:dyDescent="0.3">
      <c r="A625" t="s">
        <v>331</v>
      </c>
      <c r="B625" t="s">
        <v>332</v>
      </c>
      <c r="C625" s="1">
        <v>39814</v>
      </c>
      <c r="D625" t="s">
        <v>255</v>
      </c>
      <c r="E625">
        <v>-10.56</v>
      </c>
    </row>
    <row r="626" spans="1:5" hidden="1" x14ac:dyDescent="0.3">
      <c r="A626" t="s">
        <v>333</v>
      </c>
      <c r="B626" t="s">
        <v>334</v>
      </c>
      <c r="C626" s="1">
        <v>39814</v>
      </c>
      <c r="D626" t="s">
        <v>255</v>
      </c>
      <c r="E626">
        <v>-48.14</v>
      </c>
    </row>
    <row r="627" spans="1:5" hidden="1" x14ac:dyDescent="0.3">
      <c r="A627" t="s">
        <v>335</v>
      </c>
      <c r="B627" t="s">
        <v>336</v>
      </c>
      <c r="C627" s="1">
        <v>39814</v>
      </c>
      <c r="D627" t="s">
        <v>255</v>
      </c>
      <c r="E627">
        <v>-20.07</v>
      </c>
    </row>
    <row r="628" spans="1:5" hidden="1" x14ac:dyDescent="0.3">
      <c r="A628" t="s">
        <v>337</v>
      </c>
      <c r="B628" t="s">
        <v>338</v>
      </c>
      <c r="C628" s="1">
        <v>39814</v>
      </c>
      <c r="D628" t="s">
        <v>255</v>
      </c>
      <c r="E628">
        <v>-3.64</v>
      </c>
    </row>
    <row r="629" spans="1:5" hidden="1" x14ac:dyDescent="0.3">
      <c r="A629" t="s">
        <v>371</v>
      </c>
      <c r="B629" t="s">
        <v>372</v>
      </c>
      <c r="C629" s="1">
        <v>39814</v>
      </c>
      <c r="D629" t="s">
        <v>255</v>
      </c>
      <c r="E629">
        <v>65.34</v>
      </c>
    </row>
    <row r="630" spans="1:5" hidden="1" x14ac:dyDescent="0.3">
      <c r="A630" t="s">
        <v>5</v>
      </c>
      <c r="B630" t="s">
        <v>6</v>
      </c>
      <c r="C630" s="1">
        <v>39722</v>
      </c>
      <c r="D630" t="s">
        <v>254</v>
      </c>
      <c r="E630">
        <v>-2.54</v>
      </c>
    </row>
    <row r="631" spans="1:5" hidden="1" x14ac:dyDescent="0.3">
      <c r="A631" t="s">
        <v>325</v>
      </c>
      <c r="B631" t="s">
        <v>326</v>
      </c>
      <c r="C631" s="1">
        <v>39722</v>
      </c>
      <c r="D631" t="s">
        <v>254</v>
      </c>
      <c r="E631">
        <v>2</v>
      </c>
    </row>
    <row r="632" spans="1:5" hidden="1" x14ac:dyDescent="0.3">
      <c r="A632" t="s">
        <v>327</v>
      </c>
      <c r="B632" t="s">
        <v>328</v>
      </c>
      <c r="C632" s="1">
        <v>39722</v>
      </c>
      <c r="D632" t="s">
        <v>254</v>
      </c>
      <c r="E632">
        <v>4.49</v>
      </c>
    </row>
    <row r="633" spans="1:5" x14ac:dyDescent="0.3">
      <c r="A633" t="s">
        <v>329</v>
      </c>
      <c r="B633" t="s">
        <v>330</v>
      </c>
      <c r="C633" s="1">
        <v>39722</v>
      </c>
      <c r="D633" t="s">
        <v>254</v>
      </c>
      <c r="E633">
        <v>-88.73</v>
      </c>
    </row>
    <row r="634" spans="1:5" hidden="1" x14ac:dyDescent="0.3">
      <c r="A634" t="s">
        <v>331</v>
      </c>
      <c r="B634" t="s">
        <v>332</v>
      </c>
      <c r="C634" s="1">
        <v>39722</v>
      </c>
      <c r="D634" t="s">
        <v>254</v>
      </c>
      <c r="E634">
        <v>-9.17</v>
      </c>
    </row>
    <row r="635" spans="1:5" hidden="1" x14ac:dyDescent="0.3">
      <c r="A635" t="s">
        <v>333</v>
      </c>
      <c r="B635" t="s">
        <v>334</v>
      </c>
      <c r="C635" s="1">
        <v>39722</v>
      </c>
      <c r="D635" t="s">
        <v>254</v>
      </c>
      <c r="E635">
        <v>-16.28</v>
      </c>
    </row>
    <row r="636" spans="1:5" hidden="1" x14ac:dyDescent="0.3">
      <c r="A636" t="s">
        <v>335</v>
      </c>
      <c r="B636" t="s">
        <v>336</v>
      </c>
      <c r="C636" s="1">
        <v>39722</v>
      </c>
      <c r="D636" t="s">
        <v>254</v>
      </c>
      <c r="E636">
        <v>-25.59</v>
      </c>
    </row>
    <row r="637" spans="1:5" hidden="1" x14ac:dyDescent="0.3">
      <c r="A637" t="s">
        <v>337</v>
      </c>
      <c r="B637" t="s">
        <v>338</v>
      </c>
      <c r="C637" s="1">
        <v>39722</v>
      </c>
      <c r="D637" t="s">
        <v>254</v>
      </c>
      <c r="E637">
        <v>-1.97</v>
      </c>
    </row>
    <row r="638" spans="1:5" hidden="1" x14ac:dyDescent="0.3">
      <c r="A638" t="s">
        <v>371</v>
      </c>
      <c r="B638" t="s">
        <v>372</v>
      </c>
      <c r="C638" s="1">
        <v>39722</v>
      </c>
      <c r="D638" t="s">
        <v>254</v>
      </c>
      <c r="E638">
        <v>43.06</v>
      </c>
    </row>
    <row r="639" spans="1:5" hidden="1" x14ac:dyDescent="0.3">
      <c r="A639" t="s">
        <v>5</v>
      </c>
      <c r="B639" t="s">
        <v>6</v>
      </c>
      <c r="C639" s="1">
        <v>39630</v>
      </c>
      <c r="D639" t="s">
        <v>253</v>
      </c>
      <c r="E639">
        <v>0.27</v>
      </c>
    </row>
    <row r="640" spans="1:5" hidden="1" x14ac:dyDescent="0.3">
      <c r="A640" t="s">
        <v>325</v>
      </c>
      <c r="B640" t="s">
        <v>326</v>
      </c>
      <c r="C640" s="1">
        <v>39630</v>
      </c>
      <c r="D640" t="s">
        <v>253</v>
      </c>
      <c r="E640">
        <v>2.4700000000000002</v>
      </c>
    </row>
    <row r="641" spans="1:5" hidden="1" x14ac:dyDescent="0.3">
      <c r="A641" t="s">
        <v>327</v>
      </c>
      <c r="B641" t="s">
        <v>328</v>
      </c>
      <c r="C641" s="1">
        <v>39630</v>
      </c>
      <c r="D641" t="s">
        <v>253</v>
      </c>
      <c r="E641">
        <v>3.64</v>
      </c>
    </row>
    <row r="642" spans="1:5" x14ac:dyDescent="0.3">
      <c r="A642" t="s">
        <v>329</v>
      </c>
      <c r="B642" t="s">
        <v>330</v>
      </c>
      <c r="C642" s="1">
        <v>39630</v>
      </c>
      <c r="D642" t="s">
        <v>253</v>
      </c>
      <c r="E642">
        <v>-61.76</v>
      </c>
    </row>
    <row r="643" spans="1:5" hidden="1" x14ac:dyDescent="0.3">
      <c r="A643" t="s">
        <v>331</v>
      </c>
      <c r="B643" t="s">
        <v>332</v>
      </c>
      <c r="C643" s="1">
        <v>39630</v>
      </c>
      <c r="D643" t="s">
        <v>253</v>
      </c>
      <c r="E643">
        <v>0.05</v>
      </c>
    </row>
    <row r="644" spans="1:5" hidden="1" x14ac:dyDescent="0.3">
      <c r="A644" t="s">
        <v>333</v>
      </c>
      <c r="B644" t="s">
        <v>334</v>
      </c>
      <c r="C644" s="1">
        <v>39630</v>
      </c>
      <c r="D644" t="s">
        <v>253</v>
      </c>
      <c r="E644">
        <v>7.7</v>
      </c>
    </row>
    <row r="645" spans="1:5" hidden="1" x14ac:dyDescent="0.3">
      <c r="A645" t="s">
        <v>335</v>
      </c>
      <c r="B645" t="s">
        <v>336</v>
      </c>
      <c r="C645" s="1">
        <v>39630</v>
      </c>
      <c r="D645" t="s">
        <v>253</v>
      </c>
      <c r="E645">
        <v>-24.38</v>
      </c>
    </row>
    <row r="646" spans="1:5" hidden="1" x14ac:dyDescent="0.3">
      <c r="A646" t="s">
        <v>337</v>
      </c>
      <c r="B646" t="s">
        <v>338</v>
      </c>
      <c r="C646" s="1">
        <v>39630</v>
      </c>
      <c r="D646" t="s">
        <v>253</v>
      </c>
      <c r="E646">
        <v>-0.65</v>
      </c>
    </row>
    <row r="647" spans="1:5" hidden="1" x14ac:dyDescent="0.3">
      <c r="A647" t="s">
        <v>371</v>
      </c>
      <c r="B647" t="s">
        <v>372</v>
      </c>
      <c r="C647" s="1">
        <v>39630</v>
      </c>
      <c r="D647" t="s">
        <v>253</v>
      </c>
      <c r="E647">
        <v>28.56</v>
      </c>
    </row>
    <row r="648" spans="1:5" hidden="1" x14ac:dyDescent="0.3">
      <c r="A648" t="s">
        <v>5</v>
      </c>
      <c r="B648" t="s">
        <v>6</v>
      </c>
      <c r="C648" s="1">
        <v>39539</v>
      </c>
      <c r="D648" t="s">
        <v>252</v>
      </c>
      <c r="E648">
        <v>1.38</v>
      </c>
    </row>
    <row r="649" spans="1:5" hidden="1" x14ac:dyDescent="0.3">
      <c r="A649" t="s">
        <v>325</v>
      </c>
      <c r="B649" t="s">
        <v>326</v>
      </c>
      <c r="C649" s="1">
        <v>39539</v>
      </c>
      <c r="D649" t="s">
        <v>252</v>
      </c>
      <c r="E649">
        <v>2.34</v>
      </c>
    </row>
    <row r="650" spans="1:5" hidden="1" x14ac:dyDescent="0.3">
      <c r="A650" t="s">
        <v>327</v>
      </c>
      <c r="B650" t="s">
        <v>328</v>
      </c>
      <c r="C650" s="1">
        <v>39539</v>
      </c>
      <c r="D650" t="s">
        <v>252</v>
      </c>
      <c r="E650">
        <v>3.02</v>
      </c>
    </row>
    <row r="651" spans="1:5" x14ac:dyDescent="0.3">
      <c r="A651" t="s">
        <v>329</v>
      </c>
      <c r="B651" t="s">
        <v>330</v>
      </c>
      <c r="C651" s="1">
        <v>39539</v>
      </c>
      <c r="D651" t="s">
        <v>252</v>
      </c>
      <c r="E651">
        <v>-60.25</v>
      </c>
    </row>
    <row r="652" spans="1:5" hidden="1" x14ac:dyDescent="0.3">
      <c r="A652" t="s">
        <v>331</v>
      </c>
      <c r="B652" t="s">
        <v>332</v>
      </c>
      <c r="C652" s="1">
        <v>39539</v>
      </c>
      <c r="D652" t="s">
        <v>252</v>
      </c>
      <c r="E652">
        <v>1.86</v>
      </c>
    </row>
    <row r="653" spans="1:5" hidden="1" x14ac:dyDescent="0.3">
      <c r="A653" t="s">
        <v>333</v>
      </c>
      <c r="B653" t="s">
        <v>334</v>
      </c>
      <c r="C653" s="1">
        <v>39539</v>
      </c>
      <c r="D653" t="s">
        <v>252</v>
      </c>
      <c r="E653">
        <v>3.19</v>
      </c>
    </row>
    <row r="654" spans="1:5" hidden="1" x14ac:dyDescent="0.3">
      <c r="A654" t="s">
        <v>335</v>
      </c>
      <c r="B654" t="s">
        <v>336</v>
      </c>
      <c r="C654" s="1">
        <v>39539</v>
      </c>
      <c r="D654" t="s">
        <v>252</v>
      </c>
      <c r="E654">
        <v>-31.42</v>
      </c>
    </row>
    <row r="655" spans="1:5" hidden="1" x14ac:dyDescent="0.3">
      <c r="A655" t="s">
        <v>337</v>
      </c>
      <c r="B655" t="s">
        <v>338</v>
      </c>
      <c r="C655" s="1">
        <v>39539</v>
      </c>
      <c r="D655" t="s">
        <v>252</v>
      </c>
      <c r="E655">
        <v>-0.08</v>
      </c>
    </row>
    <row r="656" spans="1:5" hidden="1" x14ac:dyDescent="0.3">
      <c r="A656" t="s">
        <v>371</v>
      </c>
      <c r="B656" t="s">
        <v>372</v>
      </c>
      <c r="C656" s="1">
        <v>39539</v>
      </c>
      <c r="D656" t="s">
        <v>252</v>
      </c>
      <c r="E656">
        <v>18.510000000000002</v>
      </c>
    </row>
    <row r="657" spans="1:5" hidden="1" x14ac:dyDescent="0.3">
      <c r="A657" t="s">
        <v>5</v>
      </c>
      <c r="B657" t="s">
        <v>6</v>
      </c>
      <c r="C657" s="1">
        <v>39448</v>
      </c>
      <c r="D657" t="s">
        <v>251</v>
      </c>
      <c r="E657">
        <v>1.39</v>
      </c>
    </row>
    <row r="658" spans="1:5" hidden="1" x14ac:dyDescent="0.3">
      <c r="A658" t="s">
        <v>325</v>
      </c>
      <c r="B658" t="s">
        <v>326</v>
      </c>
      <c r="C658" s="1">
        <v>39448</v>
      </c>
      <c r="D658" t="s">
        <v>251</v>
      </c>
      <c r="E658">
        <v>2.39</v>
      </c>
    </row>
    <row r="659" spans="1:5" hidden="1" x14ac:dyDescent="0.3">
      <c r="A659" t="s">
        <v>327</v>
      </c>
      <c r="B659" t="s">
        <v>328</v>
      </c>
      <c r="C659" s="1">
        <v>39448</v>
      </c>
      <c r="D659" t="s">
        <v>251</v>
      </c>
      <c r="E659">
        <v>2.4900000000000002</v>
      </c>
    </row>
    <row r="660" spans="1:5" x14ac:dyDescent="0.3">
      <c r="A660" t="s">
        <v>329</v>
      </c>
      <c r="B660" t="s">
        <v>330</v>
      </c>
      <c r="C660" s="1">
        <v>39448</v>
      </c>
      <c r="D660" t="s">
        <v>251</v>
      </c>
      <c r="E660">
        <v>-39.57</v>
      </c>
    </row>
    <row r="661" spans="1:5" hidden="1" x14ac:dyDescent="0.3">
      <c r="A661" t="s">
        <v>331</v>
      </c>
      <c r="B661" t="s">
        <v>332</v>
      </c>
      <c r="C661" s="1">
        <v>39448</v>
      </c>
      <c r="D661" t="s">
        <v>251</v>
      </c>
      <c r="E661">
        <v>2.3199999999999998</v>
      </c>
    </row>
    <row r="662" spans="1:5" hidden="1" x14ac:dyDescent="0.3">
      <c r="A662" t="s">
        <v>333</v>
      </c>
      <c r="B662" t="s">
        <v>334</v>
      </c>
      <c r="C662" s="1">
        <v>39448</v>
      </c>
      <c r="D662" t="s">
        <v>251</v>
      </c>
      <c r="E662">
        <v>3.29</v>
      </c>
    </row>
    <row r="663" spans="1:5" hidden="1" x14ac:dyDescent="0.3">
      <c r="A663" t="s">
        <v>335</v>
      </c>
      <c r="B663" t="s">
        <v>336</v>
      </c>
      <c r="C663" s="1">
        <v>39448</v>
      </c>
      <c r="D663" t="s">
        <v>251</v>
      </c>
      <c r="E663">
        <v>-20.93</v>
      </c>
    </row>
    <row r="664" spans="1:5" hidden="1" x14ac:dyDescent="0.3">
      <c r="A664" t="s">
        <v>337</v>
      </c>
      <c r="B664" t="s">
        <v>338</v>
      </c>
      <c r="C664" s="1">
        <v>39448</v>
      </c>
      <c r="D664" t="s">
        <v>251</v>
      </c>
      <c r="E664">
        <v>0.52</v>
      </c>
    </row>
    <row r="665" spans="1:5" hidden="1" x14ac:dyDescent="0.3">
      <c r="A665" t="s">
        <v>371</v>
      </c>
      <c r="B665" t="s">
        <v>372</v>
      </c>
      <c r="C665" s="1">
        <v>39448</v>
      </c>
      <c r="D665" t="s">
        <v>251</v>
      </c>
      <c r="E665">
        <v>11.11</v>
      </c>
    </row>
    <row r="666" spans="1:5" hidden="1" x14ac:dyDescent="0.3">
      <c r="A666" t="s">
        <v>5</v>
      </c>
      <c r="B666" t="s">
        <v>6</v>
      </c>
      <c r="C666" s="1">
        <v>39356</v>
      </c>
      <c r="D666" t="s">
        <v>250</v>
      </c>
      <c r="E666">
        <v>2.13</v>
      </c>
    </row>
    <row r="667" spans="1:5" hidden="1" x14ac:dyDescent="0.3">
      <c r="A667" t="s">
        <v>325</v>
      </c>
      <c r="B667" t="s">
        <v>326</v>
      </c>
      <c r="C667" s="1">
        <v>39356</v>
      </c>
      <c r="D667" t="s">
        <v>250</v>
      </c>
      <c r="E667">
        <v>2.31</v>
      </c>
    </row>
    <row r="668" spans="1:5" hidden="1" x14ac:dyDescent="0.3">
      <c r="A668" t="s">
        <v>327</v>
      </c>
      <c r="B668" t="s">
        <v>328</v>
      </c>
      <c r="C668" s="1">
        <v>39356</v>
      </c>
      <c r="D668" t="s">
        <v>250</v>
      </c>
      <c r="E668">
        <v>2.36</v>
      </c>
    </row>
    <row r="669" spans="1:5" x14ac:dyDescent="0.3">
      <c r="A669" t="s">
        <v>329</v>
      </c>
      <c r="B669" t="s">
        <v>330</v>
      </c>
      <c r="C669" s="1">
        <v>39356</v>
      </c>
      <c r="D669" t="s">
        <v>250</v>
      </c>
      <c r="E669">
        <v>-14.29</v>
      </c>
    </row>
    <row r="670" spans="1:5" hidden="1" x14ac:dyDescent="0.3">
      <c r="A670" t="s">
        <v>331</v>
      </c>
      <c r="B670" t="s">
        <v>332</v>
      </c>
      <c r="C670" s="1">
        <v>39356</v>
      </c>
      <c r="D670" t="s">
        <v>250</v>
      </c>
      <c r="E670">
        <v>4.26</v>
      </c>
    </row>
    <row r="671" spans="1:5" hidden="1" x14ac:dyDescent="0.3">
      <c r="A671" t="s">
        <v>333</v>
      </c>
      <c r="B671" t="s">
        <v>334</v>
      </c>
      <c r="C671" s="1">
        <v>39356</v>
      </c>
      <c r="D671" t="s">
        <v>250</v>
      </c>
      <c r="E671">
        <v>-2.42</v>
      </c>
    </row>
    <row r="672" spans="1:5" hidden="1" x14ac:dyDescent="0.3">
      <c r="A672" t="s">
        <v>335</v>
      </c>
      <c r="B672" t="s">
        <v>336</v>
      </c>
      <c r="C672" s="1">
        <v>39356</v>
      </c>
      <c r="D672" t="s">
        <v>250</v>
      </c>
      <c r="E672">
        <v>-16.190000000000001</v>
      </c>
    </row>
    <row r="673" spans="1:5" hidden="1" x14ac:dyDescent="0.3">
      <c r="A673" t="s">
        <v>337</v>
      </c>
      <c r="B673" t="s">
        <v>338</v>
      </c>
      <c r="C673" s="1">
        <v>39356</v>
      </c>
      <c r="D673" t="s">
        <v>250</v>
      </c>
      <c r="E673">
        <v>0.9</v>
      </c>
    </row>
    <row r="674" spans="1:5" hidden="1" x14ac:dyDescent="0.3">
      <c r="A674" t="s">
        <v>371</v>
      </c>
      <c r="B674" t="s">
        <v>372</v>
      </c>
      <c r="C674" s="1">
        <v>39356</v>
      </c>
      <c r="D674" t="s">
        <v>250</v>
      </c>
      <c r="E674">
        <v>8.2799999999999994</v>
      </c>
    </row>
    <row r="675" spans="1:5" hidden="1" x14ac:dyDescent="0.3">
      <c r="A675" t="s">
        <v>5</v>
      </c>
      <c r="B675" t="s">
        <v>6</v>
      </c>
      <c r="C675" s="1">
        <v>39264</v>
      </c>
      <c r="D675" t="s">
        <v>249</v>
      </c>
      <c r="E675">
        <v>2.37</v>
      </c>
    </row>
    <row r="676" spans="1:5" hidden="1" x14ac:dyDescent="0.3">
      <c r="A676" t="s">
        <v>325</v>
      </c>
      <c r="B676" t="s">
        <v>326</v>
      </c>
      <c r="C676" s="1">
        <v>39264</v>
      </c>
      <c r="D676" t="s">
        <v>249</v>
      </c>
      <c r="E676">
        <v>2.12</v>
      </c>
    </row>
    <row r="677" spans="1:5" hidden="1" x14ac:dyDescent="0.3">
      <c r="A677" t="s">
        <v>327</v>
      </c>
      <c r="B677" t="s">
        <v>328</v>
      </c>
      <c r="C677" s="1">
        <v>39264</v>
      </c>
      <c r="D677" t="s">
        <v>249</v>
      </c>
      <c r="E677">
        <v>2.25</v>
      </c>
    </row>
    <row r="678" spans="1:5" x14ac:dyDescent="0.3">
      <c r="A678" t="s">
        <v>329</v>
      </c>
      <c r="B678" t="s">
        <v>330</v>
      </c>
      <c r="C678" s="1">
        <v>39264</v>
      </c>
      <c r="D678" t="s">
        <v>249</v>
      </c>
      <c r="E678">
        <v>-3.32</v>
      </c>
    </row>
    <row r="679" spans="1:5" hidden="1" x14ac:dyDescent="0.3">
      <c r="A679" t="s">
        <v>331</v>
      </c>
      <c r="B679" t="s">
        <v>332</v>
      </c>
      <c r="C679" s="1">
        <v>39264</v>
      </c>
      <c r="D679" t="s">
        <v>249</v>
      </c>
      <c r="E679">
        <v>3.24</v>
      </c>
    </row>
    <row r="680" spans="1:5" hidden="1" x14ac:dyDescent="0.3">
      <c r="A680" t="s">
        <v>333</v>
      </c>
      <c r="B680" t="s">
        <v>334</v>
      </c>
      <c r="C680" s="1">
        <v>39264</v>
      </c>
      <c r="D680" t="s">
        <v>249</v>
      </c>
      <c r="E680">
        <v>-12.87</v>
      </c>
    </row>
    <row r="681" spans="1:5" hidden="1" x14ac:dyDescent="0.3">
      <c r="A681" t="s">
        <v>335</v>
      </c>
      <c r="B681" t="s">
        <v>336</v>
      </c>
      <c r="C681" s="1">
        <v>39264</v>
      </c>
      <c r="D681" t="s">
        <v>249</v>
      </c>
      <c r="E681">
        <v>2.02</v>
      </c>
    </row>
    <row r="682" spans="1:5" hidden="1" x14ac:dyDescent="0.3">
      <c r="A682" t="s">
        <v>337</v>
      </c>
      <c r="B682" t="s">
        <v>338</v>
      </c>
      <c r="C682" s="1">
        <v>39264</v>
      </c>
      <c r="D682" t="s">
        <v>249</v>
      </c>
      <c r="E682">
        <v>1</v>
      </c>
    </row>
    <row r="683" spans="1:5" hidden="1" x14ac:dyDescent="0.3">
      <c r="A683" t="s">
        <v>371</v>
      </c>
      <c r="B683" t="s">
        <v>372</v>
      </c>
      <c r="C683" s="1">
        <v>39264</v>
      </c>
      <c r="D683" t="s">
        <v>249</v>
      </c>
      <c r="E683">
        <v>0.73</v>
      </c>
    </row>
    <row r="684" spans="1:5" hidden="1" x14ac:dyDescent="0.3">
      <c r="A684" t="s">
        <v>5</v>
      </c>
      <c r="B684" t="s">
        <v>6</v>
      </c>
      <c r="C684" s="1">
        <v>39173</v>
      </c>
      <c r="D684" t="s">
        <v>248</v>
      </c>
      <c r="E684">
        <v>1.93</v>
      </c>
    </row>
    <row r="685" spans="1:5" hidden="1" x14ac:dyDescent="0.3">
      <c r="A685" t="s">
        <v>325</v>
      </c>
      <c r="B685" t="s">
        <v>326</v>
      </c>
      <c r="C685" s="1">
        <v>39173</v>
      </c>
      <c r="D685" t="s">
        <v>248</v>
      </c>
      <c r="E685">
        <v>2.29</v>
      </c>
    </row>
    <row r="686" spans="1:5" hidden="1" x14ac:dyDescent="0.3">
      <c r="A686" t="s">
        <v>327</v>
      </c>
      <c r="B686" t="s">
        <v>328</v>
      </c>
      <c r="C686" s="1">
        <v>39173</v>
      </c>
      <c r="D686" t="s">
        <v>248</v>
      </c>
      <c r="E686">
        <v>1.62</v>
      </c>
    </row>
    <row r="687" spans="1:5" x14ac:dyDescent="0.3">
      <c r="A687" t="s">
        <v>329</v>
      </c>
      <c r="B687" t="s">
        <v>330</v>
      </c>
      <c r="C687" s="1">
        <v>39173</v>
      </c>
      <c r="D687" t="s">
        <v>248</v>
      </c>
      <c r="E687">
        <v>6.99</v>
      </c>
    </row>
    <row r="688" spans="1:5" hidden="1" x14ac:dyDescent="0.3">
      <c r="A688" t="s">
        <v>331</v>
      </c>
      <c r="B688" t="s">
        <v>332</v>
      </c>
      <c r="C688" s="1">
        <v>39173</v>
      </c>
      <c r="D688" t="s">
        <v>248</v>
      </c>
      <c r="E688">
        <v>3.06</v>
      </c>
    </row>
    <row r="689" spans="1:5" hidden="1" x14ac:dyDescent="0.3">
      <c r="A689" t="s">
        <v>333</v>
      </c>
      <c r="B689" t="s">
        <v>334</v>
      </c>
      <c r="C689" s="1">
        <v>39173</v>
      </c>
      <c r="D689" t="s">
        <v>248</v>
      </c>
      <c r="E689">
        <v>-6.1</v>
      </c>
    </row>
    <row r="690" spans="1:5" hidden="1" x14ac:dyDescent="0.3">
      <c r="A690" t="s">
        <v>335</v>
      </c>
      <c r="B690" t="s">
        <v>336</v>
      </c>
      <c r="C690" s="1">
        <v>39173</v>
      </c>
      <c r="D690" t="s">
        <v>248</v>
      </c>
      <c r="E690">
        <v>3.7</v>
      </c>
    </row>
    <row r="691" spans="1:5" hidden="1" x14ac:dyDescent="0.3">
      <c r="A691" t="s">
        <v>337</v>
      </c>
      <c r="B691" t="s">
        <v>338</v>
      </c>
      <c r="C691" s="1">
        <v>39173</v>
      </c>
      <c r="D691" t="s">
        <v>248</v>
      </c>
      <c r="E691">
        <v>1.25</v>
      </c>
    </row>
    <row r="692" spans="1:5" hidden="1" x14ac:dyDescent="0.3">
      <c r="A692" t="s">
        <v>371</v>
      </c>
      <c r="B692" t="s">
        <v>372</v>
      </c>
      <c r="C692" s="1">
        <v>39173</v>
      </c>
      <c r="D692" t="s">
        <v>248</v>
      </c>
      <c r="E692">
        <v>-2.87</v>
      </c>
    </row>
    <row r="693" spans="1:5" hidden="1" x14ac:dyDescent="0.3">
      <c r="A693" t="s">
        <v>5</v>
      </c>
      <c r="B693" t="s">
        <v>6</v>
      </c>
      <c r="C693" s="1">
        <v>39083</v>
      </c>
      <c r="D693" t="s">
        <v>247</v>
      </c>
      <c r="E693">
        <v>1.58</v>
      </c>
    </row>
    <row r="694" spans="1:5" hidden="1" x14ac:dyDescent="0.3">
      <c r="A694" t="s">
        <v>325</v>
      </c>
      <c r="B694" t="s">
        <v>326</v>
      </c>
      <c r="C694" s="1">
        <v>39083</v>
      </c>
      <c r="D694" t="s">
        <v>247</v>
      </c>
      <c r="E694">
        <v>2.63</v>
      </c>
    </row>
    <row r="695" spans="1:5" hidden="1" x14ac:dyDescent="0.3">
      <c r="A695" t="s">
        <v>327</v>
      </c>
      <c r="B695" t="s">
        <v>328</v>
      </c>
      <c r="C695" s="1">
        <v>39083</v>
      </c>
      <c r="D695" t="s">
        <v>247</v>
      </c>
      <c r="E695">
        <v>1.71</v>
      </c>
    </row>
    <row r="696" spans="1:5" x14ac:dyDescent="0.3">
      <c r="A696" t="s">
        <v>329</v>
      </c>
      <c r="B696" t="s">
        <v>330</v>
      </c>
      <c r="C696" s="1">
        <v>39083</v>
      </c>
      <c r="D696" t="s">
        <v>247</v>
      </c>
      <c r="E696">
        <v>17.95</v>
      </c>
    </row>
    <row r="697" spans="1:5" hidden="1" x14ac:dyDescent="0.3">
      <c r="A697" t="s">
        <v>331</v>
      </c>
      <c r="B697" t="s">
        <v>332</v>
      </c>
      <c r="C697" s="1">
        <v>39083</v>
      </c>
      <c r="D697" t="s">
        <v>247</v>
      </c>
      <c r="E697">
        <v>2.56</v>
      </c>
    </row>
    <row r="698" spans="1:5" hidden="1" x14ac:dyDescent="0.3">
      <c r="A698" t="s">
        <v>333</v>
      </c>
      <c r="B698" t="s">
        <v>334</v>
      </c>
      <c r="C698" s="1">
        <v>39083</v>
      </c>
      <c r="D698" t="s">
        <v>247</v>
      </c>
      <c r="E698">
        <v>-7.12</v>
      </c>
    </row>
    <row r="699" spans="1:5" hidden="1" x14ac:dyDescent="0.3">
      <c r="A699" t="s">
        <v>335</v>
      </c>
      <c r="B699" t="s">
        <v>336</v>
      </c>
      <c r="C699" s="1">
        <v>39083</v>
      </c>
      <c r="D699" t="s">
        <v>247</v>
      </c>
      <c r="E699">
        <v>3.67</v>
      </c>
    </row>
    <row r="700" spans="1:5" hidden="1" x14ac:dyDescent="0.3">
      <c r="A700" t="s">
        <v>337</v>
      </c>
      <c r="B700" t="s">
        <v>338</v>
      </c>
      <c r="C700" s="1">
        <v>39083</v>
      </c>
      <c r="D700" t="s">
        <v>247</v>
      </c>
      <c r="E700">
        <v>1.38</v>
      </c>
    </row>
    <row r="701" spans="1:5" hidden="1" x14ac:dyDescent="0.3">
      <c r="A701" t="s">
        <v>371</v>
      </c>
      <c r="B701" t="s">
        <v>372</v>
      </c>
      <c r="C701" s="1">
        <v>39083</v>
      </c>
      <c r="D701" t="s">
        <v>247</v>
      </c>
      <c r="E701">
        <v>-4.92</v>
      </c>
    </row>
    <row r="702" spans="1:5" hidden="1" x14ac:dyDescent="0.3">
      <c r="A702" t="s">
        <v>5</v>
      </c>
      <c r="B702" t="s">
        <v>6</v>
      </c>
      <c r="C702" s="1">
        <v>38991</v>
      </c>
      <c r="D702" t="s">
        <v>246</v>
      </c>
      <c r="E702">
        <v>2.63</v>
      </c>
    </row>
    <row r="703" spans="1:5" hidden="1" x14ac:dyDescent="0.3">
      <c r="A703" t="s">
        <v>325</v>
      </c>
      <c r="B703" t="s">
        <v>326</v>
      </c>
      <c r="C703" s="1">
        <v>38991</v>
      </c>
      <c r="D703" t="s">
        <v>246</v>
      </c>
      <c r="E703">
        <v>2.67</v>
      </c>
    </row>
    <row r="704" spans="1:5" hidden="1" x14ac:dyDescent="0.3">
      <c r="A704" t="s">
        <v>327</v>
      </c>
      <c r="B704" t="s">
        <v>328</v>
      </c>
      <c r="C704" s="1">
        <v>38991</v>
      </c>
      <c r="D704" t="s">
        <v>246</v>
      </c>
      <c r="E704">
        <v>1.7</v>
      </c>
    </row>
    <row r="705" spans="1:5" x14ac:dyDescent="0.3">
      <c r="A705" t="s">
        <v>329</v>
      </c>
      <c r="B705" t="s">
        <v>330</v>
      </c>
      <c r="C705" s="1">
        <v>38991</v>
      </c>
      <c r="D705" t="s">
        <v>246</v>
      </c>
      <c r="E705">
        <v>31.83</v>
      </c>
    </row>
    <row r="706" spans="1:5" hidden="1" x14ac:dyDescent="0.3">
      <c r="A706" t="s">
        <v>331</v>
      </c>
      <c r="B706" t="s">
        <v>332</v>
      </c>
      <c r="C706" s="1">
        <v>38991</v>
      </c>
      <c r="D706" t="s">
        <v>246</v>
      </c>
      <c r="E706">
        <v>4.25</v>
      </c>
    </row>
    <row r="707" spans="1:5" hidden="1" x14ac:dyDescent="0.3">
      <c r="A707" t="s">
        <v>333</v>
      </c>
      <c r="B707" t="s">
        <v>334</v>
      </c>
      <c r="C707" s="1">
        <v>38991</v>
      </c>
      <c r="D707" t="s">
        <v>246</v>
      </c>
      <c r="E707">
        <v>-8.0299999999999994</v>
      </c>
    </row>
    <row r="708" spans="1:5" hidden="1" x14ac:dyDescent="0.3">
      <c r="A708" t="s">
        <v>335</v>
      </c>
      <c r="B708" t="s">
        <v>336</v>
      </c>
      <c r="C708" s="1">
        <v>38991</v>
      </c>
      <c r="D708" t="s">
        <v>246</v>
      </c>
      <c r="E708">
        <v>12.17</v>
      </c>
    </row>
    <row r="709" spans="1:5" hidden="1" x14ac:dyDescent="0.3">
      <c r="A709" t="s">
        <v>337</v>
      </c>
      <c r="B709" t="s">
        <v>338</v>
      </c>
      <c r="C709" s="1">
        <v>38991</v>
      </c>
      <c r="D709" t="s">
        <v>246</v>
      </c>
      <c r="E709">
        <v>1.57</v>
      </c>
    </row>
    <row r="710" spans="1:5" hidden="1" x14ac:dyDescent="0.3">
      <c r="A710" t="s">
        <v>371</v>
      </c>
      <c r="B710" t="s">
        <v>372</v>
      </c>
      <c r="C710" s="1">
        <v>38991</v>
      </c>
      <c r="D710" t="s">
        <v>246</v>
      </c>
      <c r="E710">
        <v>-10.75</v>
      </c>
    </row>
    <row r="711" spans="1:5" hidden="1" x14ac:dyDescent="0.3">
      <c r="A711" t="s">
        <v>5</v>
      </c>
      <c r="B711" t="s">
        <v>6</v>
      </c>
      <c r="C711" s="1">
        <v>38899</v>
      </c>
      <c r="D711" t="s">
        <v>245</v>
      </c>
      <c r="E711">
        <v>2.33</v>
      </c>
    </row>
    <row r="712" spans="1:5" hidden="1" x14ac:dyDescent="0.3">
      <c r="A712" t="s">
        <v>325</v>
      </c>
      <c r="B712" t="s">
        <v>326</v>
      </c>
      <c r="C712" s="1">
        <v>38899</v>
      </c>
      <c r="D712" t="s">
        <v>245</v>
      </c>
      <c r="E712">
        <v>2.82</v>
      </c>
    </row>
    <row r="713" spans="1:5" hidden="1" x14ac:dyDescent="0.3">
      <c r="A713" t="s">
        <v>327</v>
      </c>
      <c r="B713" t="s">
        <v>328</v>
      </c>
      <c r="C713" s="1">
        <v>38899</v>
      </c>
      <c r="D713" t="s">
        <v>245</v>
      </c>
      <c r="E713">
        <v>1.1000000000000001</v>
      </c>
    </row>
    <row r="714" spans="1:5" x14ac:dyDescent="0.3">
      <c r="A714" t="s">
        <v>329</v>
      </c>
      <c r="B714" t="s">
        <v>330</v>
      </c>
      <c r="C714" s="1">
        <v>38899</v>
      </c>
      <c r="D714" t="s">
        <v>245</v>
      </c>
      <c r="E714">
        <v>51.65</v>
      </c>
    </row>
    <row r="715" spans="1:5" hidden="1" x14ac:dyDescent="0.3">
      <c r="A715" t="s">
        <v>331</v>
      </c>
      <c r="B715" t="s">
        <v>332</v>
      </c>
      <c r="C715" s="1">
        <v>38899</v>
      </c>
      <c r="D715" t="s">
        <v>245</v>
      </c>
      <c r="E715">
        <v>4.42</v>
      </c>
    </row>
    <row r="716" spans="1:5" hidden="1" x14ac:dyDescent="0.3">
      <c r="A716" t="s">
        <v>333</v>
      </c>
      <c r="B716" t="s">
        <v>334</v>
      </c>
      <c r="C716" s="1">
        <v>38899</v>
      </c>
      <c r="D716" t="s">
        <v>245</v>
      </c>
      <c r="E716">
        <v>10.19</v>
      </c>
    </row>
    <row r="717" spans="1:5" hidden="1" x14ac:dyDescent="0.3">
      <c r="A717" t="s">
        <v>335</v>
      </c>
      <c r="B717" t="s">
        <v>336</v>
      </c>
      <c r="C717" s="1">
        <v>38899</v>
      </c>
      <c r="D717" t="s">
        <v>245</v>
      </c>
      <c r="E717">
        <v>-3.96</v>
      </c>
    </row>
    <row r="718" spans="1:5" hidden="1" x14ac:dyDescent="0.3">
      <c r="A718" t="s">
        <v>337</v>
      </c>
      <c r="B718" t="s">
        <v>338</v>
      </c>
      <c r="C718" s="1">
        <v>38899</v>
      </c>
      <c r="D718" t="s">
        <v>245</v>
      </c>
      <c r="E718">
        <v>1.66</v>
      </c>
    </row>
    <row r="719" spans="1:5" hidden="1" x14ac:dyDescent="0.3">
      <c r="A719" t="s">
        <v>371</v>
      </c>
      <c r="B719" t="s">
        <v>372</v>
      </c>
      <c r="C719" s="1">
        <v>38899</v>
      </c>
      <c r="D719" t="s">
        <v>245</v>
      </c>
      <c r="E719">
        <v>-6.72</v>
      </c>
    </row>
    <row r="720" spans="1:5" hidden="1" x14ac:dyDescent="0.3">
      <c r="A720" t="s">
        <v>5</v>
      </c>
      <c r="B720" t="s">
        <v>6</v>
      </c>
      <c r="C720" s="1">
        <v>38808</v>
      </c>
      <c r="D720" t="s">
        <v>244</v>
      </c>
      <c r="E720">
        <v>2.97</v>
      </c>
    </row>
    <row r="721" spans="1:5" hidden="1" x14ac:dyDescent="0.3">
      <c r="A721" t="s">
        <v>325</v>
      </c>
      <c r="B721" t="s">
        <v>326</v>
      </c>
      <c r="C721" s="1">
        <v>38808</v>
      </c>
      <c r="D721" t="s">
        <v>244</v>
      </c>
      <c r="E721">
        <v>2.46</v>
      </c>
    </row>
    <row r="722" spans="1:5" hidden="1" x14ac:dyDescent="0.3">
      <c r="A722" t="s">
        <v>327</v>
      </c>
      <c r="B722" t="s">
        <v>328</v>
      </c>
      <c r="C722" s="1">
        <v>38808</v>
      </c>
      <c r="D722" t="s">
        <v>244</v>
      </c>
      <c r="E722">
        <v>1.66</v>
      </c>
    </row>
    <row r="723" spans="1:5" x14ac:dyDescent="0.3">
      <c r="A723" t="s">
        <v>329</v>
      </c>
      <c r="B723" t="s">
        <v>330</v>
      </c>
      <c r="C723" s="1">
        <v>38808</v>
      </c>
      <c r="D723" t="s">
        <v>244</v>
      </c>
      <c r="E723">
        <v>66.73</v>
      </c>
    </row>
    <row r="724" spans="1:5" hidden="1" x14ac:dyDescent="0.3">
      <c r="A724" t="s">
        <v>331</v>
      </c>
      <c r="B724" t="s">
        <v>332</v>
      </c>
      <c r="C724" s="1">
        <v>38808</v>
      </c>
      <c r="D724" t="s">
        <v>244</v>
      </c>
      <c r="E724">
        <v>5.65</v>
      </c>
    </row>
    <row r="725" spans="1:5" hidden="1" x14ac:dyDescent="0.3">
      <c r="A725" t="s">
        <v>333</v>
      </c>
      <c r="B725" t="s">
        <v>334</v>
      </c>
      <c r="C725" s="1">
        <v>38808</v>
      </c>
      <c r="D725" t="s">
        <v>244</v>
      </c>
      <c r="E725">
        <v>11.75</v>
      </c>
    </row>
    <row r="726" spans="1:5" hidden="1" x14ac:dyDescent="0.3">
      <c r="A726" t="s">
        <v>335</v>
      </c>
      <c r="B726" t="s">
        <v>336</v>
      </c>
      <c r="C726" s="1">
        <v>38808</v>
      </c>
      <c r="D726" t="s">
        <v>244</v>
      </c>
      <c r="E726">
        <v>-7.1</v>
      </c>
    </row>
    <row r="727" spans="1:5" hidden="1" x14ac:dyDescent="0.3">
      <c r="A727" t="s">
        <v>337</v>
      </c>
      <c r="B727" t="s">
        <v>338</v>
      </c>
      <c r="C727" s="1">
        <v>38808</v>
      </c>
      <c r="D727" t="s">
        <v>244</v>
      </c>
      <c r="E727">
        <v>1.9</v>
      </c>
    </row>
    <row r="728" spans="1:5" hidden="1" x14ac:dyDescent="0.3">
      <c r="A728" t="s">
        <v>371</v>
      </c>
      <c r="B728" t="s">
        <v>372</v>
      </c>
      <c r="C728" s="1">
        <v>38808</v>
      </c>
      <c r="D728" t="s">
        <v>244</v>
      </c>
      <c r="E728">
        <v>-9.16</v>
      </c>
    </row>
    <row r="729" spans="1:5" hidden="1" x14ac:dyDescent="0.3">
      <c r="A729" t="s">
        <v>5</v>
      </c>
      <c r="B729" t="s">
        <v>6</v>
      </c>
      <c r="C729" s="1">
        <v>38718</v>
      </c>
      <c r="D729" t="s">
        <v>243</v>
      </c>
      <c r="E729">
        <v>3.21</v>
      </c>
    </row>
    <row r="730" spans="1:5" hidden="1" x14ac:dyDescent="0.3">
      <c r="A730" t="s">
        <v>325</v>
      </c>
      <c r="B730" t="s">
        <v>326</v>
      </c>
      <c r="C730" s="1">
        <v>38718</v>
      </c>
      <c r="D730" t="s">
        <v>243</v>
      </c>
      <c r="E730">
        <v>2.11</v>
      </c>
    </row>
    <row r="731" spans="1:5" hidden="1" x14ac:dyDescent="0.3">
      <c r="A731" t="s">
        <v>327</v>
      </c>
      <c r="B731" t="s">
        <v>328</v>
      </c>
      <c r="C731" s="1">
        <v>38718</v>
      </c>
      <c r="D731" t="s">
        <v>243</v>
      </c>
      <c r="E731">
        <v>1.63</v>
      </c>
    </row>
    <row r="732" spans="1:5" x14ac:dyDescent="0.3">
      <c r="A732" t="s">
        <v>329</v>
      </c>
      <c r="B732" t="s">
        <v>330</v>
      </c>
      <c r="C732" s="1">
        <v>38718</v>
      </c>
      <c r="D732" t="s">
        <v>243</v>
      </c>
      <c r="E732">
        <v>80.45</v>
      </c>
    </row>
    <row r="733" spans="1:5" hidden="1" x14ac:dyDescent="0.3">
      <c r="A733" t="s">
        <v>331</v>
      </c>
      <c r="B733" t="s">
        <v>332</v>
      </c>
      <c r="C733" s="1">
        <v>38718</v>
      </c>
      <c r="D733" t="s">
        <v>243</v>
      </c>
      <c r="E733">
        <v>7.43</v>
      </c>
    </row>
    <row r="734" spans="1:5" hidden="1" x14ac:dyDescent="0.3">
      <c r="A734" t="s">
        <v>333</v>
      </c>
      <c r="B734" t="s">
        <v>334</v>
      </c>
      <c r="C734" s="1">
        <v>38718</v>
      </c>
      <c r="D734" t="s">
        <v>243</v>
      </c>
      <c r="E734">
        <v>14.9</v>
      </c>
    </row>
    <row r="735" spans="1:5" hidden="1" x14ac:dyDescent="0.3">
      <c r="A735" t="s">
        <v>335</v>
      </c>
      <c r="B735" t="s">
        <v>336</v>
      </c>
      <c r="C735" s="1">
        <v>38718</v>
      </c>
      <c r="D735" t="s">
        <v>243</v>
      </c>
      <c r="E735">
        <v>-5.46</v>
      </c>
    </row>
    <row r="736" spans="1:5" hidden="1" x14ac:dyDescent="0.3">
      <c r="A736" t="s">
        <v>337</v>
      </c>
      <c r="B736" t="s">
        <v>338</v>
      </c>
      <c r="C736" s="1">
        <v>38718</v>
      </c>
      <c r="D736" t="s">
        <v>243</v>
      </c>
      <c r="E736">
        <v>2.06</v>
      </c>
    </row>
    <row r="737" spans="1:5" hidden="1" x14ac:dyDescent="0.3">
      <c r="A737" t="s">
        <v>371</v>
      </c>
      <c r="B737" t="s">
        <v>372</v>
      </c>
      <c r="C737" s="1">
        <v>38718</v>
      </c>
      <c r="D737" t="s">
        <v>243</v>
      </c>
      <c r="E737">
        <v>-10.7</v>
      </c>
    </row>
    <row r="738" spans="1:5" hidden="1" x14ac:dyDescent="0.3">
      <c r="A738" t="s">
        <v>5</v>
      </c>
      <c r="B738" t="s">
        <v>6</v>
      </c>
      <c r="C738" s="1">
        <v>38626</v>
      </c>
      <c r="D738" t="s">
        <v>242</v>
      </c>
      <c r="E738">
        <v>2.97</v>
      </c>
    </row>
    <row r="739" spans="1:5" hidden="1" x14ac:dyDescent="0.3">
      <c r="A739" t="s">
        <v>325</v>
      </c>
      <c r="B739" t="s">
        <v>326</v>
      </c>
      <c r="C739" s="1">
        <v>38626</v>
      </c>
      <c r="D739" t="s">
        <v>242</v>
      </c>
      <c r="E739">
        <v>2.1</v>
      </c>
    </row>
    <row r="740" spans="1:5" hidden="1" x14ac:dyDescent="0.3">
      <c r="A740" t="s">
        <v>327</v>
      </c>
      <c r="B740" t="s">
        <v>328</v>
      </c>
      <c r="C740" s="1">
        <v>38626</v>
      </c>
      <c r="D740" t="s">
        <v>242</v>
      </c>
      <c r="E740">
        <v>1.75</v>
      </c>
    </row>
    <row r="741" spans="1:5" x14ac:dyDescent="0.3">
      <c r="A741" t="s">
        <v>329</v>
      </c>
      <c r="B741" t="s">
        <v>330</v>
      </c>
      <c r="C741" s="1">
        <v>38626</v>
      </c>
      <c r="D741" t="s">
        <v>242</v>
      </c>
      <c r="E741">
        <v>104.1</v>
      </c>
    </row>
    <row r="742" spans="1:5" hidden="1" x14ac:dyDescent="0.3">
      <c r="A742" t="s">
        <v>331</v>
      </c>
      <c r="B742" t="s">
        <v>332</v>
      </c>
      <c r="C742" s="1">
        <v>38626</v>
      </c>
      <c r="D742" t="s">
        <v>242</v>
      </c>
      <c r="E742">
        <v>5.47</v>
      </c>
    </row>
    <row r="743" spans="1:5" hidden="1" x14ac:dyDescent="0.3">
      <c r="A743" t="s">
        <v>333</v>
      </c>
      <c r="B743" t="s">
        <v>334</v>
      </c>
      <c r="C743" s="1">
        <v>38626</v>
      </c>
      <c r="D743" t="s">
        <v>242</v>
      </c>
      <c r="E743">
        <v>16.100000000000001</v>
      </c>
    </row>
    <row r="744" spans="1:5" hidden="1" x14ac:dyDescent="0.3">
      <c r="A744" t="s">
        <v>335</v>
      </c>
      <c r="B744" t="s">
        <v>336</v>
      </c>
      <c r="C744" s="1">
        <v>38626</v>
      </c>
      <c r="D744" t="s">
        <v>242</v>
      </c>
      <c r="E744">
        <v>-12.18</v>
      </c>
    </row>
    <row r="745" spans="1:5" hidden="1" x14ac:dyDescent="0.3">
      <c r="A745" t="s">
        <v>337</v>
      </c>
      <c r="B745" t="s">
        <v>338</v>
      </c>
      <c r="C745" s="1">
        <v>38626</v>
      </c>
      <c r="D745" t="s">
        <v>242</v>
      </c>
      <c r="E745">
        <v>1.82</v>
      </c>
    </row>
    <row r="746" spans="1:5" hidden="1" x14ac:dyDescent="0.3">
      <c r="A746" t="s">
        <v>371</v>
      </c>
      <c r="B746" t="s">
        <v>372</v>
      </c>
      <c r="C746" s="1">
        <v>38626</v>
      </c>
      <c r="D746" t="s">
        <v>242</v>
      </c>
      <c r="E746">
        <v>-8.58</v>
      </c>
    </row>
    <row r="747" spans="1:5" hidden="1" x14ac:dyDescent="0.3">
      <c r="A747" t="s">
        <v>5</v>
      </c>
      <c r="B747" t="s">
        <v>6</v>
      </c>
      <c r="C747" s="1">
        <v>38534</v>
      </c>
      <c r="D747" t="s">
        <v>241</v>
      </c>
      <c r="E747">
        <v>3.45</v>
      </c>
    </row>
    <row r="748" spans="1:5" hidden="1" x14ac:dyDescent="0.3">
      <c r="A748" t="s">
        <v>325</v>
      </c>
      <c r="B748" t="s">
        <v>326</v>
      </c>
      <c r="C748" s="1">
        <v>38534</v>
      </c>
      <c r="D748" t="s">
        <v>241</v>
      </c>
      <c r="E748">
        <v>2.0499999999999998</v>
      </c>
    </row>
    <row r="749" spans="1:5" hidden="1" x14ac:dyDescent="0.3">
      <c r="A749" t="s">
        <v>327</v>
      </c>
      <c r="B749" t="s">
        <v>328</v>
      </c>
      <c r="C749" s="1">
        <v>38534</v>
      </c>
      <c r="D749" t="s">
        <v>241</v>
      </c>
      <c r="E749">
        <v>2.66</v>
      </c>
    </row>
    <row r="750" spans="1:5" x14ac:dyDescent="0.3">
      <c r="A750" t="s">
        <v>329</v>
      </c>
      <c r="B750" t="s">
        <v>330</v>
      </c>
      <c r="C750" s="1">
        <v>38534</v>
      </c>
      <c r="D750" t="s">
        <v>241</v>
      </c>
      <c r="E750">
        <v>141.44999999999999</v>
      </c>
    </row>
    <row r="751" spans="1:5" hidden="1" x14ac:dyDescent="0.3">
      <c r="A751" t="s">
        <v>331</v>
      </c>
      <c r="B751" t="s">
        <v>332</v>
      </c>
      <c r="C751" s="1">
        <v>38534</v>
      </c>
      <c r="D751" t="s">
        <v>241</v>
      </c>
      <c r="E751">
        <v>7.59</v>
      </c>
    </row>
    <row r="752" spans="1:5" hidden="1" x14ac:dyDescent="0.3">
      <c r="A752" t="s">
        <v>333</v>
      </c>
      <c r="B752" t="s">
        <v>334</v>
      </c>
      <c r="C752" s="1">
        <v>38534</v>
      </c>
      <c r="D752" t="s">
        <v>241</v>
      </c>
      <c r="E752">
        <v>16.23</v>
      </c>
    </row>
    <row r="753" spans="1:5" hidden="1" x14ac:dyDescent="0.3">
      <c r="A753" t="s">
        <v>335</v>
      </c>
      <c r="B753" t="s">
        <v>336</v>
      </c>
      <c r="C753" s="1">
        <v>38534</v>
      </c>
      <c r="D753" t="s">
        <v>241</v>
      </c>
      <c r="E753">
        <v>-8.4700000000000006</v>
      </c>
    </row>
    <row r="754" spans="1:5" hidden="1" x14ac:dyDescent="0.3">
      <c r="A754" t="s">
        <v>337</v>
      </c>
      <c r="B754" t="s">
        <v>338</v>
      </c>
      <c r="C754" s="1">
        <v>38534</v>
      </c>
      <c r="D754" t="s">
        <v>241</v>
      </c>
      <c r="E754">
        <v>1.89</v>
      </c>
    </row>
    <row r="755" spans="1:5" hidden="1" x14ac:dyDescent="0.3">
      <c r="A755" t="s">
        <v>371</v>
      </c>
      <c r="B755" t="s">
        <v>372</v>
      </c>
      <c r="C755" s="1">
        <v>38534</v>
      </c>
      <c r="D755" t="s">
        <v>241</v>
      </c>
      <c r="E755">
        <v>-8.58</v>
      </c>
    </row>
    <row r="756" spans="1:5" hidden="1" x14ac:dyDescent="0.3">
      <c r="A756" t="s">
        <v>5</v>
      </c>
      <c r="B756" t="s">
        <v>6</v>
      </c>
      <c r="C756" s="1">
        <v>38443</v>
      </c>
      <c r="D756" t="s">
        <v>240</v>
      </c>
      <c r="E756">
        <v>3.62</v>
      </c>
    </row>
    <row r="757" spans="1:5" hidden="1" x14ac:dyDescent="0.3">
      <c r="A757" t="s">
        <v>325</v>
      </c>
      <c r="B757" t="s">
        <v>326</v>
      </c>
      <c r="C757" s="1">
        <v>38443</v>
      </c>
      <c r="D757" t="s">
        <v>240</v>
      </c>
      <c r="E757">
        <v>2.14</v>
      </c>
    </row>
    <row r="758" spans="1:5" hidden="1" x14ac:dyDescent="0.3">
      <c r="A758" t="s">
        <v>327</v>
      </c>
      <c r="B758" t="s">
        <v>328</v>
      </c>
      <c r="C758" s="1">
        <v>38443</v>
      </c>
      <c r="D758" t="s">
        <v>240</v>
      </c>
      <c r="E758">
        <v>2.54</v>
      </c>
    </row>
    <row r="759" spans="1:5" x14ac:dyDescent="0.3">
      <c r="A759" t="s">
        <v>329</v>
      </c>
      <c r="B759" t="s">
        <v>330</v>
      </c>
      <c r="C759" s="1">
        <v>38443</v>
      </c>
      <c r="D759" t="s">
        <v>240</v>
      </c>
      <c r="E759">
        <v>191.39</v>
      </c>
    </row>
    <row r="760" spans="1:5" hidden="1" x14ac:dyDescent="0.3">
      <c r="A760" t="s">
        <v>331</v>
      </c>
      <c r="B760" t="s">
        <v>332</v>
      </c>
      <c r="C760" s="1">
        <v>38443</v>
      </c>
      <c r="D760" t="s">
        <v>240</v>
      </c>
      <c r="E760">
        <v>7.12</v>
      </c>
    </row>
    <row r="761" spans="1:5" hidden="1" x14ac:dyDescent="0.3">
      <c r="A761" t="s">
        <v>333</v>
      </c>
      <c r="B761" t="s">
        <v>334</v>
      </c>
      <c r="C761" s="1">
        <v>38443</v>
      </c>
      <c r="D761" t="s">
        <v>240</v>
      </c>
      <c r="E761">
        <v>15.21</v>
      </c>
    </row>
    <row r="762" spans="1:5" hidden="1" x14ac:dyDescent="0.3">
      <c r="A762" t="s">
        <v>335</v>
      </c>
      <c r="B762" t="s">
        <v>336</v>
      </c>
      <c r="C762" s="1">
        <v>38443</v>
      </c>
      <c r="D762" t="s">
        <v>240</v>
      </c>
      <c r="E762">
        <v>-3.36</v>
      </c>
    </row>
    <row r="763" spans="1:5" hidden="1" x14ac:dyDescent="0.3">
      <c r="A763" t="s">
        <v>337</v>
      </c>
      <c r="B763" t="s">
        <v>338</v>
      </c>
      <c r="C763" s="1">
        <v>38443</v>
      </c>
      <c r="D763" t="s">
        <v>240</v>
      </c>
      <c r="E763">
        <v>1.58</v>
      </c>
    </row>
    <row r="764" spans="1:5" hidden="1" x14ac:dyDescent="0.3">
      <c r="A764" t="s">
        <v>371</v>
      </c>
      <c r="B764" t="s">
        <v>372</v>
      </c>
      <c r="C764" s="1">
        <v>38443</v>
      </c>
      <c r="D764" t="s">
        <v>240</v>
      </c>
      <c r="E764">
        <v>-8.93</v>
      </c>
    </row>
    <row r="765" spans="1:5" hidden="1" x14ac:dyDescent="0.3">
      <c r="A765" t="s">
        <v>5</v>
      </c>
      <c r="B765" t="s">
        <v>6</v>
      </c>
      <c r="C765" s="1">
        <v>38353</v>
      </c>
      <c r="D765" t="s">
        <v>239</v>
      </c>
      <c r="E765">
        <v>3.91</v>
      </c>
    </row>
    <row r="766" spans="1:5" hidden="1" x14ac:dyDescent="0.3">
      <c r="A766" t="s">
        <v>325</v>
      </c>
      <c r="B766" t="s">
        <v>326</v>
      </c>
      <c r="C766" s="1">
        <v>38353</v>
      </c>
      <c r="D766" t="s">
        <v>239</v>
      </c>
      <c r="E766">
        <v>2.31</v>
      </c>
    </row>
    <row r="767" spans="1:5" hidden="1" x14ac:dyDescent="0.3">
      <c r="A767" t="s">
        <v>327</v>
      </c>
      <c r="B767" t="s">
        <v>328</v>
      </c>
      <c r="C767" s="1">
        <v>38353</v>
      </c>
      <c r="D767" t="s">
        <v>239</v>
      </c>
      <c r="E767">
        <v>2.6</v>
      </c>
    </row>
    <row r="768" spans="1:5" x14ac:dyDescent="0.3">
      <c r="A768" t="s">
        <v>329</v>
      </c>
      <c r="B768" t="s">
        <v>330</v>
      </c>
      <c r="C768" s="1">
        <v>38353</v>
      </c>
      <c r="D768" t="s">
        <v>239</v>
      </c>
      <c r="E768">
        <v>146.26</v>
      </c>
    </row>
    <row r="769" spans="1:5" hidden="1" x14ac:dyDescent="0.3">
      <c r="A769" t="s">
        <v>331</v>
      </c>
      <c r="B769" t="s">
        <v>332</v>
      </c>
      <c r="C769" s="1">
        <v>38353</v>
      </c>
      <c r="D769" t="s">
        <v>239</v>
      </c>
      <c r="E769">
        <v>6.27</v>
      </c>
    </row>
    <row r="770" spans="1:5" hidden="1" x14ac:dyDescent="0.3">
      <c r="A770" t="s">
        <v>333</v>
      </c>
      <c r="B770" t="s">
        <v>334</v>
      </c>
      <c r="C770" s="1">
        <v>38353</v>
      </c>
      <c r="D770" t="s">
        <v>239</v>
      </c>
      <c r="E770">
        <v>23.48</v>
      </c>
    </row>
    <row r="771" spans="1:5" hidden="1" x14ac:dyDescent="0.3">
      <c r="A771" t="s">
        <v>335</v>
      </c>
      <c r="B771" t="s">
        <v>336</v>
      </c>
      <c r="C771" s="1">
        <v>38353</v>
      </c>
      <c r="D771" t="s">
        <v>239</v>
      </c>
      <c r="E771">
        <v>-4.01</v>
      </c>
    </row>
    <row r="772" spans="1:5" hidden="1" x14ac:dyDescent="0.3">
      <c r="A772" t="s">
        <v>337</v>
      </c>
      <c r="B772" t="s">
        <v>338</v>
      </c>
      <c r="C772" s="1">
        <v>38353</v>
      </c>
      <c r="D772" t="s">
        <v>239</v>
      </c>
      <c r="E772">
        <v>1.59</v>
      </c>
    </row>
    <row r="773" spans="1:5" hidden="1" x14ac:dyDescent="0.3">
      <c r="A773" t="s">
        <v>371</v>
      </c>
      <c r="B773" t="s">
        <v>372</v>
      </c>
      <c r="C773" s="1">
        <v>38353</v>
      </c>
      <c r="D773" t="s">
        <v>239</v>
      </c>
      <c r="E773">
        <v>-7.02</v>
      </c>
    </row>
    <row r="774" spans="1:5" hidden="1" x14ac:dyDescent="0.3">
      <c r="A774" t="s">
        <v>5</v>
      </c>
      <c r="B774" t="s">
        <v>6</v>
      </c>
      <c r="C774" s="1">
        <v>38261</v>
      </c>
      <c r="D774" t="s">
        <v>238</v>
      </c>
      <c r="E774">
        <v>3.35</v>
      </c>
    </row>
    <row r="775" spans="1:5" hidden="1" x14ac:dyDescent="0.3">
      <c r="A775" t="s">
        <v>325</v>
      </c>
      <c r="B775" t="s">
        <v>326</v>
      </c>
      <c r="C775" s="1">
        <v>38261</v>
      </c>
      <c r="D775" t="s">
        <v>238</v>
      </c>
      <c r="E775">
        <v>2.16</v>
      </c>
    </row>
    <row r="776" spans="1:5" hidden="1" x14ac:dyDescent="0.3">
      <c r="A776" t="s">
        <v>327</v>
      </c>
      <c r="B776" t="s">
        <v>328</v>
      </c>
      <c r="C776" s="1">
        <v>38261</v>
      </c>
      <c r="D776" t="s">
        <v>238</v>
      </c>
      <c r="E776">
        <v>2.0299999999999998</v>
      </c>
    </row>
    <row r="777" spans="1:5" x14ac:dyDescent="0.3">
      <c r="A777" t="s">
        <v>329</v>
      </c>
      <c r="B777" t="s">
        <v>330</v>
      </c>
      <c r="C777" s="1">
        <v>38261</v>
      </c>
      <c r="D777" t="s">
        <v>238</v>
      </c>
      <c r="E777">
        <v>95.59</v>
      </c>
    </row>
    <row r="778" spans="1:5" hidden="1" x14ac:dyDescent="0.3">
      <c r="A778" t="s">
        <v>331</v>
      </c>
      <c r="B778" t="s">
        <v>332</v>
      </c>
      <c r="C778" s="1">
        <v>38261</v>
      </c>
      <c r="D778" t="s">
        <v>238</v>
      </c>
      <c r="E778">
        <v>7.27</v>
      </c>
    </row>
    <row r="779" spans="1:5" hidden="1" x14ac:dyDescent="0.3">
      <c r="A779" t="s">
        <v>333</v>
      </c>
      <c r="B779" t="s">
        <v>334</v>
      </c>
      <c r="C779" s="1">
        <v>38261</v>
      </c>
      <c r="D779" t="s">
        <v>238</v>
      </c>
      <c r="E779">
        <v>35.44</v>
      </c>
    </row>
    <row r="780" spans="1:5" hidden="1" x14ac:dyDescent="0.3">
      <c r="A780" t="s">
        <v>335</v>
      </c>
      <c r="B780" t="s">
        <v>336</v>
      </c>
      <c r="C780" s="1">
        <v>38261</v>
      </c>
      <c r="D780" t="s">
        <v>238</v>
      </c>
      <c r="E780">
        <v>2.0699999999999998</v>
      </c>
    </row>
    <row r="781" spans="1:5" hidden="1" x14ac:dyDescent="0.3">
      <c r="A781" t="s">
        <v>337</v>
      </c>
      <c r="B781" t="s">
        <v>338</v>
      </c>
      <c r="C781" s="1">
        <v>38261</v>
      </c>
      <c r="D781" t="s">
        <v>238</v>
      </c>
      <c r="E781">
        <v>1.55</v>
      </c>
    </row>
    <row r="782" spans="1:5" hidden="1" x14ac:dyDescent="0.3">
      <c r="A782" t="s">
        <v>371</v>
      </c>
      <c r="B782" t="s">
        <v>372</v>
      </c>
      <c r="C782" s="1">
        <v>38261</v>
      </c>
      <c r="D782" t="s">
        <v>238</v>
      </c>
      <c r="E782">
        <v>-6.86</v>
      </c>
    </row>
    <row r="783" spans="1:5" hidden="1" x14ac:dyDescent="0.3">
      <c r="A783" t="s">
        <v>5</v>
      </c>
      <c r="B783" t="s">
        <v>6</v>
      </c>
      <c r="C783" s="1">
        <v>38169</v>
      </c>
      <c r="D783" t="s">
        <v>237</v>
      </c>
      <c r="E783">
        <v>3.49</v>
      </c>
    </row>
    <row r="784" spans="1:5" hidden="1" x14ac:dyDescent="0.3">
      <c r="A784" t="s">
        <v>325</v>
      </c>
      <c r="B784" t="s">
        <v>326</v>
      </c>
      <c r="C784" s="1">
        <v>38169</v>
      </c>
      <c r="D784" t="s">
        <v>237</v>
      </c>
      <c r="E784">
        <v>1.81</v>
      </c>
    </row>
    <row r="785" spans="1:5" hidden="1" x14ac:dyDescent="0.3">
      <c r="A785" t="s">
        <v>327</v>
      </c>
      <c r="B785" t="s">
        <v>328</v>
      </c>
      <c r="C785" s="1">
        <v>38169</v>
      </c>
      <c r="D785" t="s">
        <v>237</v>
      </c>
      <c r="E785">
        <v>1.64</v>
      </c>
    </row>
    <row r="786" spans="1:5" x14ac:dyDescent="0.3">
      <c r="A786" t="s">
        <v>329</v>
      </c>
      <c r="B786" t="s">
        <v>330</v>
      </c>
      <c r="C786" s="1">
        <v>38169</v>
      </c>
      <c r="D786" t="s">
        <v>237</v>
      </c>
      <c r="E786">
        <v>40.9</v>
      </c>
    </row>
    <row r="787" spans="1:5" hidden="1" x14ac:dyDescent="0.3">
      <c r="A787" t="s">
        <v>331</v>
      </c>
      <c r="B787" t="s">
        <v>332</v>
      </c>
      <c r="C787" s="1">
        <v>38169</v>
      </c>
      <c r="D787" t="s">
        <v>237</v>
      </c>
      <c r="E787">
        <v>5.0999999999999996</v>
      </c>
    </row>
    <row r="788" spans="1:5" hidden="1" x14ac:dyDescent="0.3">
      <c r="A788" t="s">
        <v>333</v>
      </c>
      <c r="B788" t="s">
        <v>334</v>
      </c>
      <c r="C788" s="1">
        <v>38169</v>
      </c>
      <c r="D788" t="s">
        <v>237</v>
      </c>
      <c r="E788">
        <v>28.03</v>
      </c>
    </row>
    <row r="789" spans="1:5" hidden="1" x14ac:dyDescent="0.3">
      <c r="A789" t="s">
        <v>335</v>
      </c>
      <c r="B789" t="s">
        <v>336</v>
      </c>
      <c r="C789" s="1">
        <v>38169</v>
      </c>
      <c r="D789" t="s">
        <v>237</v>
      </c>
      <c r="E789">
        <v>7.05</v>
      </c>
    </row>
    <row r="790" spans="1:5" hidden="1" x14ac:dyDescent="0.3">
      <c r="A790" t="s">
        <v>337</v>
      </c>
      <c r="B790" t="s">
        <v>338</v>
      </c>
      <c r="C790" s="1">
        <v>38169</v>
      </c>
      <c r="D790" t="s">
        <v>237</v>
      </c>
      <c r="E790">
        <v>1.36</v>
      </c>
    </row>
    <row r="791" spans="1:5" hidden="1" x14ac:dyDescent="0.3">
      <c r="A791" t="s">
        <v>371</v>
      </c>
      <c r="B791" t="s">
        <v>372</v>
      </c>
      <c r="C791" s="1">
        <v>38169</v>
      </c>
      <c r="D791" t="s">
        <v>237</v>
      </c>
      <c r="E791">
        <v>-11.41</v>
      </c>
    </row>
    <row r="792" spans="1:5" hidden="1" x14ac:dyDescent="0.3">
      <c r="A792" t="s">
        <v>5</v>
      </c>
      <c r="B792" t="s">
        <v>6</v>
      </c>
      <c r="C792" s="1">
        <v>38078</v>
      </c>
      <c r="D792" t="s">
        <v>236</v>
      </c>
      <c r="E792">
        <v>4.2300000000000004</v>
      </c>
    </row>
    <row r="793" spans="1:5" hidden="1" x14ac:dyDescent="0.3">
      <c r="A793" t="s">
        <v>325</v>
      </c>
      <c r="B793" t="s">
        <v>326</v>
      </c>
      <c r="C793" s="1">
        <v>38078</v>
      </c>
      <c r="D793" t="s">
        <v>236</v>
      </c>
      <c r="E793">
        <v>1.78</v>
      </c>
    </row>
    <row r="794" spans="1:5" hidden="1" x14ac:dyDescent="0.3">
      <c r="A794" t="s">
        <v>327</v>
      </c>
      <c r="B794" t="s">
        <v>328</v>
      </c>
      <c r="C794" s="1">
        <v>38078</v>
      </c>
      <c r="D794" t="s">
        <v>236</v>
      </c>
      <c r="E794">
        <v>1.53</v>
      </c>
    </row>
    <row r="795" spans="1:5" x14ac:dyDescent="0.3">
      <c r="A795" t="s">
        <v>329</v>
      </c>
      <c r="B795" t="s">
        <v>330</v>
      </c>
      <c r="C795" s="1">
        <v>38078</v>
      </c>
      <c r="D795" t="s">
        <v>236</v>
      </c>
      <c r="E795">
        <v>-19.010000000000002</v>
      </c>
    </row>
    <row r="796" spans="1:5" hidden="1" x14ac:dyDescent="0.3">
      <c r="A796" t="s">
        <v>331</v>
      </c>
      <c r="B796" t="s">
        <v>332</v>
      </c>
      <c r="C796" s="1">
        <v>38078</v>
      </c>
      <c r="D796" t="s">
        <v>236</v>
      </c>
      <c r="E796">
        <v>6.33</v>
      </c>
    </row>
    <row r="797" spans="1:5" hidden="1" x14ac:dyDescent="0.3">
      <c r="A797" t="s">
        <v>333</v>
      </c>
      <c r="B797" t="s">
        <v>334</v>
      </c>
      <c r="C797" s="1">
        <v>38078</v>
      </c>
      <c r="D797" t="s">
        <v>236</v>
      </c>
      <c r="E797">
        <v>21.46</v>
      </c>
    </row>
    <row r="798" spans="1:5" hidden="1" x14ac:dyDescent="0.3">
      <c r="A798" t="s">
        <v>335</v>
      </c>
      <c r="B798" t="s">
        <v>336</v>
      </c>
      <c r="C798" s="1">
        <v>38078</v>
      </c>
      <c r="D798" t="s">
        <v>236</v>
      </c>
      <c r="E798">
        <v>4.55</v>
      </c>
    </row>
    <row r="799" spans="1:5" hidden="1" x14ac:dyDescent="0.3">
      <c r="A799" t="s">
        <v>337</v>
      </c>
      <c r="B799" t="s">
        <v>338</v>
      </c>
      <c r="C799" s="1">
        <v>38078</v>
      </c>
      <c r="D799" t="s">
        <v>236</v>
      </c>
      <c r="E799">
        <v>1.1100000000000001</v>
      </c>
    </row>
    <row r="800" spans="1:5" hidden="1" x14ac:dyDescent="0.3">
      <c r="A800" t="s">
        <v>371</v>
      </c>
      <c r="B800" t="s">
        <v>372</v>
      </c>
      <c r="C800" s="1">
        <v>38078</v>
      </c>
      <c r="D800" t="s">
        <v>236</v>
      </c>
      <c r="E800">
        <v>-8.69</v>
      </c>
    </row>
    <row r="801" spans="1:5" hidden="1" x14ac:dyDescent="0.3">
      <c r="A801" t="s">
        <v>5</v>
      </c>
      <c r="B801" t="s">
        <v>6</v>
      </c>
      <c r="C801" s="1">
        <v>37987</v>
      </c>
      <c r="D801" t="s">
        <v>235</v>
      </c>
      <c r="E801">
        <v>4.34</v>
      </c>
    </row>
    <row r="802" spans="1:5" hidden="1" x14ac:dyDescent="0.3">
      <c r="A802" t="s">
        <v>325</v>
      </c>
      <c r="B802" t="s">
        <v>326</v>
      </c>
      <c r="C802" s="1">
        <v>37987</v>
      </c>
      <c r="D802" t="s">
        <v>235</v>
      </c>
      <c r="E802">
        <v>1.32</v>
      </c>
    </row>
    <row r="803" spans="1:5" hidden="1" x14ac:dyDescent="0.3">
      <c r="A803" t="s">
        <v>327</v>
      </c>
      <c r="B803" t="s">
        <v>328</v>
      </c>
      <c r="C803" s="1">
        <v>37987</v>
      </c>
      <c r="D803" t="s">
        <v>235</v>
      </c>
      <c r="E803">
        <v>0.91</v>
      </c>
    </row>
    <row r="804" spans="1:5" x14ac:dyDescent="0.3">
      <c r="A804" t="s">
        <v>329</v>
      </c>
      <c r="B804" t="s">
        <v>330</v>
      </c>
      <c r="C804" s="1">
        <v>37987</v>
      </c>
      <c r="D804" t="s">
        <v>235</v>
      </c>
      <c r="E804">
        <v>-19.760000000000002</v>
      </c>
    </row>
    <row r="805" spans="1:5" hidden="1" x14ac:dyDescent="0.3">
      <c r="A805" t="s">
        <v>331</v>
      </c>
      <c r="B805" t="s">
        <v>332</v>
      </c>
      <c r="C805" s="1">
        <v>37987</v>
      </c>
      <c r="D805" t="s">
        <v>235</v>
      </c>
      <c r="E805">
        <v>6.25</v>
      </c>
    </row>
    <row r="806" spans="1:5" hidden="1" x14ac:dyDescent="0.3">
      <c r="A806" t="s">
        <v>333</v>
      </c>
      <c r="B806" t="s">
        <v>334</v>
      </c>
      <c r="C806" s="1">
        <v>37987</v>
      </c>
      <c r="D806" t="s">
        <v>235</v>
      </c>
      <c r="E806">
        <v>8.7100000000000009</v>
      </c>
    </row>
    <row r="807" spans="1:5" hidden="1" x14ac:dyDescent="0.3">
      <c r="A807" t="s">
        <v>335</v>
      </c>
      <c r="B807" t="s">
        <v>336</v>
      </c>
      <c r="C807" s="1">
        <v>37987</v>
      </c>
      <c r="D807" t="s">
        <v>235</v>
      </c>
      <c r="E807">
        <v>22.55</v>
      </c>
    </row>
    <row r="808" spans="1:5" hidden="1" x14ac:dyDescent="0.3">
      <c r="A808" t="s">
        <v>337</v>
      </c>
      <c r="B808" t="s">
        <v>338</v>
      </c>
      <c r="C808" s="1">
        <v>37987</v>
      </c>
      <c r="D808" t="s">
        <v>235</v>
      </c>
      <c r="E808">
        <v>0.38</v>
      </c>
    </row>
    <row r="809" spans="1:5" hidden="1" x14ac:dyDescent="0.3">
      <c r="A809" t="s">
        <v>371</v>
      </c>
      <c r="B809" t="s">
        <v>372</v>
      </c>
      <c r="C809" s="1">
        <v>37987</v>
      </c>
      <c r="D809" t="s">
        <v>235</v>
      </c>
      <c r="E809">
        <v>-2.85</v>
      </c>
    </row>
    <row r="810" spans="1:5" hidden="1" x14ac:dyDescent="0.3">
      <c r="A810" t="s">
        <v>5</v>
      </c>
      <c r="B810" t="s">
        <v>6</v>
      </c>
      <c r="C810" s="1">
        <v>37895</v>
      </c>
      <c r="D810" t="s">
        <v>234</v>
      </c>
      <c r="E810">
        <v>4.3</v>
      </c>
    </row>
    <row r="811" spans="1:5" hidden="1" x14ac:dyDescent="0.3">
      <c r="A811" t="s">
        <v>325</v>
      </c>
      <c r="B811" t="s">
        <v>326</v>
      </c>
      <c r="C811" s="1">
        <v>37895</v>
      </c>
      <c r="D811" t="s">
        <v>234</v>
      </c>
      <c r="E811">
        <v>1.1599999999999999</v>
      </c>
    </row>
    <row r="812" spans="1:5" hidden="1" x14ac:dyDescent="0.3">
      <c r="A812" t="s">
        <v>327</v>
      </c>
      <c r="B812" t="s">
        <v>328</v>
      </c>
      <c r="C812" s="1">
        <v>37895</v>
      </c>
      <c r="D812" t="s">
        <v>234</v>
      </c>
      <c r="E812">
        <v>0.62</v>
      </c>
    </row>
    <row r="813" spans="1:5" x14ac:dyDescent="0.3">
      <c r="A813" t="s">
        <v>329</v>
      </c>
      <c r="B813" t="s">
        <v>330</v>
      </c>
      <c r="C813" s="1">
        <v>37895</v>
      </c>
      <c r="D813" t="s">
        <v>234</v>
      </c>
      <c r="E813">
        <v>-30.91</v>
      </c>
    </row>
    <row r="814" spans="1:5" hidden="1" x14ac:dyDescent="0.3">
      <c r="A814" t="s">
        <v>331</v>
      </c>
      <c r="B814" t="s">
        <v>332</v>
      </c>
      <c r="C814" s="1">
        <v>37895</v>
      </c>
      <c r="D814" t="s">
        <v>234</v>
      </c>
      <c r="E814">
        <v>5.32</v>
      </c>
    </row>
    <row r="815" spans="1:5" hidden="1" x14ac:dyDescent="0.3">
      <c r="A815" t="s">
        <v>333</v>
      </c>
      <c r="B815" t="s">
        <v>334</v>
      </c>
      <c r="C815" s="1">
        <v>37895</v>
      </c>
      <c r="D815" t="s">
        <v>234</v>
      </c>
      <c r="E815">
        <v>6.07</v>
      </c>
    </row>
    <row r="816" spans="1:5" hidden="1" x14ac:dyDescent="0.3">
      <c r="A816" t="s">
        <v>335</v>
      </c>
      <c r="B816" t="s">
        <v>336</v>
      </c>
      <c r="C816" s="1">
        <v>37895</v>
      </c>
      <c r="D816" t="s">
        <v>234</v>
      </c>
      <c r="E816">
        <v>9.6999999999999993</v>
      </c>
    </row>
    <row r="817" spans="1:5" hidden="1" x14ac:dyDescent="0.3">
      <c r="A817" t="s">
        <v>337</v>
      </c>
      <c r="B817" t="s">
        <v>338</v>
      </c>
      <c r="C817" s="1">
        <v>37895</v>
      </c>
      <c r="D817" t="s">
        <v>234</v>
      </c>
      <c r="E817">
        <v>-0.05</v>
      </c>
    </row>
    <row r="818" spans="1:5" hidden="1" x14ac:dyDescent="0.3">
      <c r="A818" t="s">
        <v>371</v>
      </c>
      <c r="B818" t="s">
        <v>372</v>
      </c>
      <c r="C818" s="1">
        <v>37895</v>
      </c>
      <c r="D818" t="s">
        <v>234</v>
      </c>
      <c r="E818">
        <v>-0.57999999999999996</v>
      </c>
    </row>
    <row r="819" spans="1:5" hidden="1" x14ac:dyDescent="0.3">
      <c r="A819" t="s">
        <v>5</v>
      </c>
      <c r="B819" t="s">
        <v>6</v>
      </c>
      <c r="C819" s="1">
        <v>37803</v>
      </c>
      <c r="D819" t="s">
        <v>233</v>
      </c>
      <c r="E819">
        <v>3.23</v>
      </c>
    </row>
    <row r="820" spans="1:5" hidden="1" x14ac:dyDescent="0.3">
      <c r="A820" t="s">
        <v>325</v>
      </c>
      <c r="B820" t="s">
        <v>326</v>
      </c>
      <c r="C820" s="1">
        <v>37803</v>
      </c>
      <c r="D820" t="s">
        <v>233</v>
      </c>
      <c r="E820">
        <v>1.36</v>
      </c>
    </row>
    <row r="821" spans="1:5" hidden="1" x14ac:dyDescent="0.3">
      <c r="A821" t="s">
        <v>327</v>
      </c>
      <c r="B821" t="s">
        <v>328</v>
      </c>
      <c r="C821" s="1">
        <v>37803</v>
      </c>
      <c r="D821" t="s">
        <v>233</v>
      </c>
      <c r="E821">
        <v>0.22</v>
      </c>
    </row>
    <row r="822" spans="1:5" x14ac:dyDescent="0.3">
      <c r="A822" t="s">
        <v>329</v>
      </c>
      <c r="B822" t="s">
        <v>330</v>
      </c>
      <c r="C822" s="1">
        <v>37803</v>
      </c>
      <c r="D822" t="s">
        <v>233</v>
      </c>
      <c r="E822">
        <v>-41.55</v>
      </c>
    </row>
    <row r="823" spans="1:5" hidden="1" x14ac:dyDescent="0.3">
      <c r="A823" t="s">
        <v>331</v>
      </c>
      <c r="B823" t="s">
        <v>332</v>
      </c>
      <c r="C823" s="1">
        <v>37803</v>
      </c>
      <c r="D823" t="s">
        <v>233</v>
      </c>
      <c r="E823">
        <v>5.12</v>
      </c>
    </row>
    <row r="824" spans="1:5" hidden="1" x14ac:dyDescent="0.3">
      <c r="A824" t="s">
        <v>333</v>
      </c>
      <c r="B824" t="s">
        <v>334</v>
      </c>
      <c r="C824" s="1">
        <v>37803</v>
      </c>
      <c r="D824" t="s">
        <v>233</v>
      </c>
      <c r="E824">
        <v>15.68</v>
      </c>
    </row>
    <row r="825" spans="1:5" hidden="1" x14ac:dyDescent="0.3">
      <c r="A825" t="s">
        <v>335</v>
      </c>
      <c r="B825" t="s">
        <v>336</v>
      </c>
      <c r="C825" s="1">
        <v>37803</v>
      </c>
      <c r="D825" t="s">
        <v>233</v>
      </c>
      <c r="E825">
        <v>2.33</v>
      </c>
    </row>
    <row r="826" spans="1:5" hidden="1" x14ac:dyDescent="0.3">
      <c r="A826" t="s">
        <v>337</v>
      </c>
      <c r="B826" t="s">
        <v>338</v>
      </c>
      <c r="C826" s="1">
        <v>37803</v>
      </c>
      <c r="D826" t="s">
        <v>233</v>
      </c>
      <c r="E826">
        <v>-0.28000000000000003</v>
      </c>
    </row>
    <row r="827" spans="1:5" hidden="1" x14ac:dyDescent="0.3">
      <c r="A827" t="s">
        <v>371</v>
      </c>
      <c r="B827" t="s">
        <v>372</v>
      </c>
      <c r="C827" s="1">
        <v>37803</v>
      </c>
      <c r="D827" t="s">
        <v>233</v>
      </c>
      <c r="E827">
        <v>6.98</v>
      </c>
    </row>
    <row r="828" spans="1:5" hidden="1" x14ac:dyDescent="0.3">
      <c r="A828" t="s">
        <v>5</v>
      </c>
      <c r="B828" t="s">
        <v>6</v>
      </c>
      <c r="C828" s="1">
        <v>37712</v>
      </c>
      <c r="D828" t="s">
        <v>232</v>
      </c>
      <c r="E828">
        <v>1.96</v>
      </c>
    </row>
    <row r="829" spans="1:5" hidden="1" x14ac:dyDescent="0.3">
      <c r="A829" t="s">
        <v>325</v>
      </c>
      <c r="B829" t="s">
        <v>326</v>
      </c>
      <c r="C829" s="1">
        <v>37712</v>
      </c>
      <c r="D829" t="s">
        <v>232</v>
      </c>
      <c r="E829">
        <v>1.49</v>
      </c>
    </row>
    <row r="830" spans="1:5" hidden="1" x14ac:dyDescent="0.3">
      <c r="A830" t="s">
        <v>327</v>
      </c>
      <c r="B830" t="s">
        <v>328</v>
      </c>
      <c r="C830" s="1">
        <v>37712</v>
      </c>
      <c r="D830" t="s">
        <v>232</v>
      </c>
      <c r="E830">
        <v>-0.2</v>
      </c>
    </row>
    <row r="831" spans="1:5" x14ac:dyDescent="0.3">
      <c r="A831" t="s">
        <v>329</v>
      </c>
      <c r="B831" t="s">
        <v>330</v>
      </c>
      <c r="C831" s="1">
        <v>37712</v>
      </c>
      <c r="D831" t="s">
        <v>232</v>
      </c>
      <c r="E831">
        <v>-28.74</v>
      </c>
    </row>
    <row r="832" spans="1:5" hidden="1" x14ac:dyDescent="0.3">
      <c r="A832" t="s">
        <v>331</v>
      </c>
      <c r="B832" t="s">
        <v>332</v>
      </c>
      <c r="C832" s="1">
        <v>37712</v>
      </c>
      <c r="D832" t="s">
        <v>232</v>
      </c>
      <c r="E832">
        <v>3.78</v>
      </c>
    </row>
    <row r="833" spans="1:5" hidden="1" x14ac:dyDescent="0.3">
      <c r="A833" t="s">
        <v>333</v>
      </c>
      <c r="B833" t="s">
        <v>334</v>
      </c>
      <c r="C833" s="1">
        <v>37712</v>
      </c>
      <c r="D833" t="s">
        <v>232</v>
      </c>
      <c r="E833">
        <v>20.11</v>
      </c>
    </row>
    <row r="834" spans="1:5" hidden="1" x14ac:dyDescent="0.3">
      <c r="A834" t="s">
        <v>335</v>
      </c>
      <c r="B834" t="s">
        <v>336</v>
      </c>
      <c r="C834" s="1">
        <v>37712</v>
      </c>
      <c r="D834" t="s">
        <v>232</v>
      </c>
      <c r="E834">
        <v>-5.14</v>
      </c>
    </row>
    <row r="835" spans="1:5" hidden="1" x14ac:dyDescent="0.3">
      <c r="A835" t="s">
        <v>337</v>
      </c>
      <c r="B835" t="s">
        <v>338</v>
      </c>
      <c r="C835" s="1">
        <v>37712</v>
      </c>
      <c r="D835" t="s">
        <v>232</v>
      </c>
      <c r="E835">
        <v>-0.35</v>
      </c>
    </row>
    <row r="836" spans="1:5" hidden="1" x14ac:dyDescent="0.3">
      <c r="A836" t="s">
        <v>371</v>
      </c>
      <c r="B836" t="s">
        <v>372</v>
      </c>
      <c r="C836" s="1">
        <v>37712</v>
      </c>
      <c r="D836" t="s">
        <v>232</v>
      </c>
      <c r="E836">
        <v>5.14</v>
      </c>
    </row>
    <row r="837" spans="1:5" hidden="1" x14ac:dyDescent="0.3">
      <c r="A837" t="s">
        <v>5</v>
      </c>
      <c r="B837" t="s">
        <v>6</v>
      </c>
      <c r="C837" s="1">
        <v>37622</v>
      </c>
      <c r="D837" t="s">
        <v>231</v>
      </c>
      <c r="E837">
        <v>1.68</v>
      </c>
    </row>
    <row r="838" spans="1:5" hidden="1" x14ac:dyDescent="0.3">
      <c r="A838" t="s">
        <v>325</v>
      </c>
      <c r="B838" t="s">
        <v>326</v>
      </c>
      <c r="C838" s="1">
        <v>37622</v>
      </c>
      <c r="D838" t="s">
        <v>231</v>
      </c>
      <c r="E838">
        <v>1.83</v>
      </c>
    </row>
    <row r="839" spans="1:5" hidden="1" x14ac:dyDescent="0.3">
      <c r="A839" t="s">
        <v>327</v>
      </c>
      <c r="B839" t="s">
        <v>328</v>
      </c>
      <c r="C839" s="1">
        <v>37622</v>
      </c>
      <c r="D839" t="s">
        <v>231</v>
      </c>
      <c r="E839">
        <v>7.0000000000000007E-2</v>
      </c>
    </row>
    <row r="840" spans="1:5" x14ac:dyDescent="0.3">
      <c r="A840" t="s">
        <v>329</v>
      </c>
      <c r="B840" t="s">
        <v>330</v>
      </c>
      <c r="C840" s="1">
        <v>37622</v>
      </c>
      <c r="D840" t="s">
        <v>231</v>
      </c>
      <c r="E840">
        <v>-27.87</v>
      </c>
    </row>
    <row r="841" spans="1:5" hidden="1" x14ac:dyDescent="0.3">
      <c r="A841" t="s">
        <v>331</v>
      </c>
      <c r="B841" t="s">
        <v>332</v>
      </c>
      <c r="C841" s="1">
        <v>37622</v>
      </c>
      <c r="D841" t="s">
        <v>231</v>
      </c>
      <c r="E841">
        <v>3.29</v>
      </c>
    </row>
    <row r="842" spans="1:5" hidden="1" x14ac:dyDescent="0.3">
      <c r="A842" t="s">
        <v>333</v>
      </c>
      <c r="B842" t="s">
        <v>334</v>
      </c>
      <c r="C842" s="1">
        <v>37622</v>
      </c>
      <c r="D842" t="s">
        <v>231</v>
      </c>
      <c r="E842">
        <v>34.82</v>
      </c>
    </row>
    <row r="843" spans="1:5" hidden="1" x14ac:dyDescent="0.3">
      <c r="A843" t="s">
        <v>335</v>
      </c>
      <c r="B843" t="s">
        <v>336</v>
      </c>
      <c r="C843" s="1">
        <v>37622</v>
      </c>
      <c r="D843" t="s">
        <v>231</v>
      </c>
      <c r="E843">
        <v>-14.14</v>
      </c>
    </row>
    <row r="844" spans="1:5" hidden="1" x14ac:dyDescent="0.3">
      <c r="A844" t="s">
        <v>337</v>
      </c>
      <c r="B844" t="s">
        <v>338</v>
      </c>
      <c r="C844" s="1">
        <v>37622</v>
      </c>
      <c r="D844" t="s">
        <v>231</v>
      </c>
      <c r="E844">
        <v>-0.27</v>
      </c>
    </row>
    <row r="845" spans="1:5" hidden="1" x14ac:dyDescent="0.3">
      <c r="A845" t="s">
        <v>371</v>
      </c>
      <c r="B845" t="s">
        <v>372</v>
      </c>
      <c r="C845" s="1">
        <v>37622</v>
      </c>
      <c r="D845" t="s">
        <v>231</v>
      </c>
      <c r="E845">
        <v>2.93</v>
      </c>
    </row>
    <row r="846" spans="1:5" hidden="1" x14ac:dyDescent="0.3">
      <c r="A846" t="s">
        <v>5</v>
      </c>
      <c r="B846" t="s">
        <v>6</v>
      </c>
      <c r="C846" s="1">
        <v>37530</v>
      </c>
      <c r="D846" t="s">
        <v>230</v>
      </c>
      <c r="E846">
        <v>1.99</v>
      </c>
    </row>
    <row r="847" spans="1:5" hidden="1" x14ac:dyDescent="0.3">
      <c r="A847" t="s">
        <v>325</v>
      </c>
      <c r="B847" t="s">
        <v>326</v>
      </c>
      <c r="C847" s="1">
        <v>37530</v>
      </c>
      <c r="D847" t="s">
        <v>230</v>
      </c>
      <c r="E847">
        <v>2.06</v>
      </c>
    </row>
    <row r="848" spans="1:5" hidden="1" x14ac:dyDescent="0.3">
      <c r="A848" t="s">
        <v>327</v>
      </c>
      <c r="B848" t="s">
        <v>328</v>
      </c>
      <c r="C848" s="1">
        <v>37530</v>
      </c>
      <c r="D848" t="s">
        <v>230</v>
      </c>
      <c r="E848">
        <v>-0.02</v>
      </c>
    </row>
    <row r="849" spans="1:5" x14ac:dyDescent="0.3">
      <c r="A849" t="s">
        <v>329</v>
      </c>
      <c r="B849" t="s">
        <v>330</v>
      </c>
      <c r="C849" s="1">
        <v>37530</v>
      </c>
      <c r="D849" t="s">
        <v>230</v>
      </c>
      <c r="E849">
        <v>-32.35</v>
      </c>
    </row>
    <row r="850" spans="1:5" hidden="1" x14ac:dyDescent="0.3">
      <c r="A850" t="s">
        <v>331</v>
      </c>
      <c r="B850" t="s">
        <v>332</v>
      </c>
      <c r="C850" s="1">
        <v>37530</v>
      </c>
      <c r="D850" t="s">
        <v>230</v>
      </c>
      <c r="E850">
        <v>0.95</v>
      </c>
    </row>
    <row r="851" spans="1:5" hidden="1" x14ac:dyDescent="0.3">
      <c r="A851" t="s">
        <v>333</v>
      </c>
      <c r="B851" t="s">
        <v>334</v>
      </c>
      <c r="C851" s="1">
        <v>37530</v>
      </c>
      <c r="D851" t="s">
        <v>230</v>
      </c>
      <c r="E851">
        <v>35.71</v>
      </c>
    </row>
    <row r="852" spans="1:5" hidden="1" x14ac:dyDescent="0.3">
      <c r="A852" t="s">
        <v>335</v>
      </c>
      <c r="B852" t="s">
        <v>336</v>
      </c>
      <c r="C852" s="1">
        <v>37530</v>
      </c>
      <c r="D852" t="s">
        <v>230</v>
      </c>
      <c r="E852">
        <v>-1.53</v>
      </c>
    </row>
    <row r="853" spans="1:5" hidden="1" x14ac:dyDescent="0.3">
      <c r="A853" t="s">
        <v>337</v>
      </c>
      <c r="B853" t="s">
        <v>338</v>
      </c>
      <c r="C853" s="1">
        <v>37530</v>
      </c>
      <c r="D853" t="s">
        <v>230</v>
      </c>
      <c r="E853">
        <v>-0.48</v>
      </c>
    </row>
    <row r="854" spans="1:5" hidden="1" x14ac:dyDescent="0.3">
      <c r="A854" t="s">
        <v>371</v>
      </c>
      <c r="B854" t="s">
        <v>372</v>
      </c>
      <c r="C854" s="1">
        <v>37530</v>
      </c>
      <c r="D854" t="s">
        <v>230</v>
      </c>
      <c r="E854">
        <v>6.67</v>
      </c>
    </row>
    <row r="855" spans="1:5" hidden="1" x14ac:dyDescent="0.3">
      <c r="A855" t="s">
        <v>5</v>
      </c>
      <c r="B855" t="s">
        <v>6</v>
      </c>
      <c r="C855" s="1">
        <v>37438</v>
      </c>
      <c r="D855" t="s">
        <v>229</v>
      </c>
      <c r="E855">
        <v>2.15</v>
      </c>
    </row>
    <row r="856" spans="1:5" hidden="1" x14ac:dyDescent="0.3">
      <c r="A856" t="s">
        <v>325</v>
      </c>
      <c r="B856" t="s">
        <v>326</v>
      </c>
      <c r="C856" s="1">
        <v>37438</v>
      </c>
      <c r="D856" t="s">
        <v>229</v>
      </c>
      <c r="E856">
        <v>2.27</v>
      </c>
    </row>
    <row r="857" spans="1:5" hidden="1" x14ac:dyDescent="0.3">
      <c r="A857" t="s">
        <v>327</v>
      </c>
      <c r="B857" t="s">
        <v>328</v>
      </c>
      <c r="C857" s="1">
        <v>37438</v>
      </c>
      <c r="D857" t="s">
        <v>229</v>
      </c>
      <c r="E857">
        <v>-0.33</v>
      </c>
    </row>
    <row r="858" spans="1:5" x14ac:dyDescent="0.3">
      <c r="A858" t="s">
        <v>329</v>
      </c>
      <c r="B858" t="s">
        <v>330</v>
      </c>
      <c r="C858" s="1">
        <v>37438</v>
      </c>
      <c r="D858" t="s">
        <v>229</v>
      </c>
      <c r="E858">
        <v>-50.24</v>
      </c>
    </row>
    <row r="859" spans="1:5" hidden="1" x14ac:dyDescent="0.3">
      <c r="A859" t="s">
        <v>331</v>
      </c>
      <c r="B859" t="s">
        <v>332</v>
      </c>
      <c r="C859" s="1">
        <v>37438</v>
      </c>
      <c r="D859" t="s">
        <v>229</v>
      </c>
      <c r="E859">
        <v>4.12</v>
      </c>
    </row>
    <row r="860" spans="1:5" hidden="1" x14ac:dyDescent="0.3">
      <c r="A860" t="s">
        <v>333</v>
      </c>
      <c r="B860" t="s">
        <v>334</v>
      </c>
      <c r="C860" s="1">
        <v>37438</v>
      </c>
      <c r="D860" t="s">
        <v>229</v>
      </c>
      <c r="E860">
        <v>23</v>
      </c>
    </row>
    <row r="861" spans="1:5" hidden="1" x14ac:dyDescent="0.3">
      <c r="A861" t="s">
        <v>335</v>
      </c>
      <c r="B861" t="s">
        <v>336</v>
      </c>
      <c r="C861" s="1">
        <v>37438</v>
      </c>
      <c r="D861" t="s">
        <v>229</v>
      </c>
      <c r="E861">
        <v>-1.47</v>
      </c>
    </row>
    <row r="862" spans="1:5" hidden="1" x14ac:dyDescent="0.3">
      <c r="A862" t="s">
        <v>337</v>
      </c>
      <c r="B862" t="s">
        <v>338</v>
      </c>
      <c r="C862" s="1">
        <v>37438</v>
      </c>
      <c r="D862" t="s">
        <v>229</v>
      </c>
      <c r="E862">
        <v>-1.08</v>
      </c>
    </row>
    <row r="863" spans="1:5" hidden="1" x14ac:dyDescent="0.3">
      <c r="A863" t="s">
        <v>371</v>
      </c>
      <c r="B863" t="s">
        <v>372</v>
      </c>
      <c r="C863" s="1">
        <v>37438</v>
      </c>
      <c r="D863" t="s">
        <v>229</v>
      </c>
      <c r="E863">
        <v>18.62</v>
      </c>
    </row>
    <row r="864" spans="1:5" hidden="1" x14ac:dyDescent="0.3">
      <c r="A864" t="s">
        <v>5</v>
      </c>
      <c r="B864" t="s">
        <v>6</v>
      </c>
      <c r="C864" s="1">
        <v>37347</v>
      </c>
      <c r="D864" t="s">
        <v>228</v>
      </c>
      <c r="E864">
        <v>1.33</v>
      </c>
    </row>
    <row r="865" spans="1:5" hidden="1" x14ac:dyDescent="0.3">
      <c r="A865" t="s">
        <v>325</v>
      </c>
      <c r="B865" t="s">
        <v>326</v>
      </c>
      <c r="C865" s="1">
        <v>37347</v>
      </c>
      <c r="D865" t="s">
        <v>228</v>
      </c>
      <c r="E865">
        <v>2.4300000000000002</v>
      </c>
    </row>
    <row r="866" spans="1:5" hidden="1" x14ac:dyDescent="0.3">
      <c r="A866" t="s">
        <v>327</v>
      </c>
      <c r="B866" t="s">
        <v>328</v>
      </c>
      <c r="C866" s="1">
        <v>37347</v>
      </c>
      <c r="D866" t="s">
        <v>228</v>
      </c>
      <c r="E866">
        <v>0.2</v>
      </c>
    </row>
    <row r="867" spans="1:5" x14ac:dyDescent="0.3">
      <c r="A867" t="s">
        <v>329</v>
      </c>
      <c r="B867" t="s">
        <v>330</v>
      </c>
      <c r="C867" s="1">
        <v>37347</v>
      </c>
      <c r="D867" t="s">
        <v>228</v>
      </c>
      <c r="E867">
        <v>-59.56</v>
      </c>
    </row>
    <row r="868" spans="1:5" hidden="1" x14ac:dyDescent="0.3">
      <c r="A868" t="s">
        <v>331</v>
      </c>
      <c r="B868" t="s">
        <v>332</v>
      </c>
      <c r="C868" s="1">
        <v>37347</v>
      </c>
      <c r="D868" t="s">
        <v>228</v>
      </c>
      <c r="E868">
        <v>1.93</v>
      </c>
    </row>
    <row r="869" spans="1:5" hidden="1" x14ac:dyDescent="0.3">
      <c r="A869" t="s">
        <v>333</v>
      </c>
      <c r="B869" t="s">
        <v>334</v>
      </c>
      <c r="C869" s="1">
        <v>37347</v>
      </c>
      <c r="D869" t="s">
        <v>228</v>
      </c>
      <c r="E869">
        <v>20.9</v>
      </c>
    </row>
    <row r="870" spans="1:5" hidden="1" x14ac:dyDescent="0.3">
      <c r="A870" t="s">
        <v>335</v>
      </c>
      <c r="B870" t="s">
        <v>336</v>
      </c>
      <c r="C870" s="1">
        <v>37347</v>
      </c>
      <c r="D870" t="s">
        <v>228</v>
      </c>
      <c r="E870">
        <v>3.41</v>
      </c>
    </row>
    <row r="871" spans="1:5" hidden="1" x14ac:dyDescent="0.3">
      <c r="A871" t="s">
        <v>337</v>
      </c>
      <c r="B871" t="s">
        <v>338</v>
      </c>
      <c r="C871" s="1">
        <v>37347</v>
      </c>
      <c r="D871" t="s">
        <v>228</v>
      </c>
      <c r="E871">
        <v>-1.32</v>
      </c>
    </row>
    <row r="872" spans="1:5" hidden="1" x14ac:dyDescent="0.3">
      <c r="A872" t="s">
        <v>371</v>
      </c>
      <c r="B872" t="s">
        <v>372</v>
      </c>
      <c r="C872" s="1">
        <v>37347</v>
      </c>
      <c r="D872" t="s">
        <v>228</v>
      </c>
      <c r="E872">
        <v>32.57</v>
      </c>
    </row>
    <row r="873" spans="1:5" hidden="1" x14ac:dyDescent="0.3">
      <c r="A873" t="s">
        <v>5</v>
      </c>
      <c r="B873" t="s">
        <v>6</v>
      </c>
      <c r="C873" s="1">
        <v>37257</v>
      </c>
      <c r="D873" t="s">
        <v>227</v>
      </c>
      <c r="E873">
        <v>1.34</v>
      </c>
    </row>
    <row r="874" spans="1:5" hidden="1" x14ac:dyDescent="0.3">
      <c r="A874" t="s">
        <v>325</v>
      </c>
      <c r="B874" t="s">
        <v>326</v>
      </c>
      <c r="C874" s="1">
        <v>37257</v>
      </c>
      <c r="D874" t="s">
        <v>227</v>
      </c>
      <c r="E874">
        <v>2.5299999999999998</v>
      </c>
    </row>
    <row r="875" spans="1:5" hidden="1" x14ac:dyDescent="0.3">
      <c r="A875" t="s">
        <v>327</v>
      </c>
      <c r="B875" t="s">
        <v>328</v>
      </c>
      <c r="C875" s="1">
        <v>37257</v>
      </c>
      <c r="D875" t="s">
        <v>227</v>
      </c>
      <c r="E875">
        <v>0.42</v>
      </c>
    </row>
    <row r="876" spans="1:5" x14ac:dyDescent="0.3">
      <c r="A876" t="s">
        <v>329</v>
      </c>
      <c r="B876" t="s">
        <v>330</v>
      </c>
      <c r="C876" s="1">
        <v>37257</v>
      </c>
      <c r="D876" t="s">
        <v>227</v>
      </c>
      <c r="E876">
        <v>-69.010000000000005</v>
      </c>
    </row>
    <row r="877" spans="1:5" hidden="1" x14ac:dyDescent="0.3">
      <c r="A877" t="s">
        <v>331</v>
      </c>
      <c r="B877" t="s">
        <v>332</v>
      </c>
      <c r="C877" s="1">
        <v>37257</v>
      </c>
      <c r="D877" t="s">
        <v>227</v>
      </c>
      <c r="E877">
        <v>2.2999999999999998</v>
      </c>
    </row>
    <row r="878" spans="1:5" hidden="1" x14ac:dyDescent="0.3">
      <c r="A878" t="s">
        <v>333</v>
      </c>
      <c r="B878" t="s">
        <v>334</v>
      </c>
      <c r="C878" s="1">
        <v>37257</v>
      </c>
      <c r="D878" t="s">
        <v>227</v>
      </c>
      <c r="E878">
        <v>-2.84</v>
      </c>
    </row>
    <row r="879" spans="1:5" hidden="1" x14ac:dyDescent="0.3">
      <c r="A879" t="s">
        <v>335</v>
      </c>
      <c r="B879" t="s">
        <v>336</v>
      </c>
      <c r="C879" s="1">
        <v>37257</v>
      </c>
      <c r="D879" t="s">
        <v>227</v>
      </c>
      <c r="E879">
        <v>0.94</v>
      </c>
    </row>
    <row r="880" spans="1:5" hidden="1" x14ac:dyDescent="0.3">
      <c r="A880" t="s">
        <v>337</v>
      </c>
      <c r="B880" t="s">
        <v>338</v>
      </c>
      <c r="C880" s="1">
        <v>37257</v>
      </c>
      <c r="D880" t="s">
        <v>227</v>
      </c>
      <c r="E880">
        <v>-1.49</v>
      </c>
    </row>
    <row r="881" spans="1:5" hidden="1" x14ac:dyDescent="0.3">
      <c r="A881" t="s">
        <v>371</v>
      </c>
      <c r="B881" t="s">
        <v>372</v>
      </c>
      <c r="C881" s="1">
        <v>37257</v>
      </c>
      <c r="D881" t="s">
        <v>227</v>
      </c>
      <c r="E881">
        <v>34.659999999999997</v>
      </c>
    </row>
    <row r="882" spans="1:5" hidden="1" x14ac:dyDescent="0.3">
      <c r="A882" t="s">
        <v>5</v>
      </c>
      <c r="B882" t="s">
        <v>6</v>
      </c>
      <c r="C882" s="1">
        <v>37165</v>
      </c>
      <c r="D882" t="s">
        <v>226</v>
      </c>
      <c r="E882">
        <v>0.17</v>
      </c>
    </row>
    <row r="883" spans="1:5" hidden="1" x14ac:dyDescent="0.3">
      <c r="A883" t="s">
        <v>325</v>
      </c>
      <c r="B883" t="s">
        <v>326</v>
      </c>
      <c r="C883" s="1">
        <v>37165</v>
      </c>
      <c r="D883" t="s">
        <v>226</v>
      </c>
      <c r="E883">
        <v>2.71</v>
      </c>
    </row>
    <row r="884" spans="1:5" hidden="1" x14ac:dyDescent="0.3">
      <c r="A884" t="s">
        <v>327</v>
      </c>
      <c r="B884" t="s">
        <v>328</v>
      </c>
      <c r="C884" s="1">
        <v>37165</v>
      </c>
      <c r="D884" t="s">
        <v>226</v>
      </c>
      <c r="E884">
        <v>0.96</v>
      </c>
    </row>
    <row r="885" spans="1:5" x14ac:dyDescent="0.3">
      <c r="A885" t="s">
        <v>329</v>
      </c>
      <c r="B885" t="s">
        <v>330</v>
      </c>
      <c r="C885" s="1">
        <v>37165</v>
      </c>
      <c r="D885" t="s">
        <v>226</v>
      </c>
      <c r="E885">
        <v>-67.05</v>
      </c>
    </row>
    <row r="886" spans="1:5" hidden="1" x14ac:dyDescent="0.3">
      <c r="A886" t="s">
        <v>331</v>
      </c>
      <c r="B886" t="s">
        <v>332</v>
      </c>
      <c r="C886" s="1">
        <v>37165</v>
      </c>
      <c r="D886" t="s">
        <v>226</v>
      </c>
      <c r="E886">
        <v>4.6399999999999997</v>
      </c>
    </row>
    <row r="887" spans="1:5" hidden="1" x14ac:dyDescent="0.3">
      <c r="A887" t="s">
        <v>333</v>
      </c>
      <c r="B887" t="s">
        <v>334</v>
      </c>
      <c r="C887" s="1">
        <v>37165</v>
      </c>
      <c r="D887" t="s">
        <v>226</v>
      </c>
      <c r="E887">
        <v>-11.35</v>
      </c>
    </row>
    <row r="888" spans="1:5" hidden="1" x14ac:dyDescent="0.3">
      <c r="A888" t="s">
        <v>335</v>
      </c>
      <c r="B888" t="s">
        <v>336</v>
      </c>
      <c r="C888" s="1">
        <v>37165</v>
      </c>
      <c r="D888" t="s">
        <v>226</v>
      </c>
      <c r="E888">
        <v>-18.09</v>
      </c>
    </row>
    <row r="889" spans="1:5" hidden="1" x14ac:dyDescent="0.3">
      <c r="A889" t="s">
        <v>337</v>
      </c>
      <c r="B889" t="s">
        <v>338</v>
      </c>
      <c r="C889" s="1">
        <v>37165</v>
      </c>
      <c r="D889" t="s">
        <v>226</v>
      </c>
      <c r="E889">
        <v>-1.02</v>
      </c>
    </row>
    <row r="890" spans="1:5" hidden="1" x14ac:dyDescent="0.3">
      <c r="A890" t="s">
        <v>371</v>
      </c>
      <c r="B890" t="s">
        <v>372</v>
      </c>
      <c r="C890" s="1">
        <v>37165</v>
      </c>
      <c r="D890" t="s">
        <v>226</v>
      </c>
      <c r="E890">
        <v>41.03</v>
      </c>
    </row>
    <row r="891" spans="1:5" hidden="1" x14ac:dyDescent="0.3">
      <c r="A891" t="s">
        <v>5</v>
      </c>
      <c r="B891" t="s">
        <v>6</v>
      </c>
      <c r="C891" s="1">
        <v>37073</v>
      </c>
      <c r="D891" t="s">
        <v>225</v>
      </c>
      <c r="E891">
        <v>0.49</v>
      </c>
    </row>
    <row r="892" spans="1:5" hidden="1" x14ac:dyDescent="0.3">
      <c r="A892" t="s">
        <v>325</v>
      </c>
      <c r="B892" t="s">
        <v>326</v>
      </c>
      <c r="C892" s="1">
        <v>37073</v>
      </c>
      <c r="D892" t="s">
        <v>225</v>
      </c>
      <c r="E892">
        <v>2.66</v>
      </c>
    </row>
    <row r="893" spans="1:5" hidden="1" x14ac:dyDescent="0.3">
      <c r="A893" t="s">
        <v>327</v>
      </c>
      <c r="B893" t="s">
        <v>328</v>
      </c>
      <c r="C893" s="1">
        <v>37073</v>
      </c>
      <c r="D893" t="s">
        <v>225</v>
      </c>
      <c r="E893">
        <v>1.53</v>
      </c>
    </row>
    <row r="894" spans="1:5" x14ac:dyDescent="0.3">
      <c r="A894" t="s">
        <v>329</v>
      </c>
      <c r="B894" t="s">
        <v>330</v>
      </c>
      <c r="C894" s="1">
        <v>37073</v>
      </c>
      <c r="D894" t="s">
        <v>225</v>
      </c>
      <c r="E894">
        <v>-46.37</v>
      </c>
    </row>
    <row r="895" spans="1:5" hidden="1" x14ac:dyDescent="0.3">
      <c r="A895" t="s">
        <v>331</v>
      </c>
      <c r="B895" t="s">
        <v>332</v>
      </c>
      <c r="C895" s="1">
        <v>37073</v>
      </c>
      <c r="D895" t="s">
        <v>225</v>
      </c>
      <c r="E895">
        <v>1.78</v>
      </c>
    </row>
    <row r="896" spans="1:5" hidden="1" x14ac:dyDescent="0.3">
      <c r="A896" t="s">
        <v>333</v>
      </c>
      <c r="B896" t="s">
        <v>334</v>
      </c>
      <c r="C896" s="1">
        <v>37073</v>
      </c>
      <c r="D896" t="s">
        <v>225</v>
      </c>
      <c r="E896">
        <v>-7.11</v>
      </c>
    </row>
    <row r="897" spans="1:5" hidden="1" x14ac:dyDescent="0.3">
      <c r="A897" t="s">
        <v>335</v>
      </c>
      <c r="B897" t="s">
        <v>336</v>
      </c>
      <c r="C897" s="1">
        <v>37073</v>
      </c>
      <c r="D897" t="s">
        <v>225</v>
      </c>
      <c r="E897">
        <v>-17.59</v>
      </c>
    </row>
    <row r="898" spans="1:5" hidden="1" x14ac:dyDescent="0.3">
      <c r="A898" t="s">
        <v>337</v>
      </c>
      <c r="B898" t="s">
        <v>338</v>
      </c>
      <c r="C898" s="1">
        <v>37073</v>
      </c>
      <c r="D898" t="s">
        <v>225</v>
      </c>
      <c r="E898">
        <v>-0.21</v>
      </c>
    </row>
    <row r="899" spans="1:5" hidden="1" x14ac:dyDescent="0.3">
      <c r="A899" t="s">
        <v>371</v>
      </c>
      <c r="B899" t="s">
        <v>372</v>
      </c>
      <c r="C899" s="1">
        <v>37073</v>
      </c>
      <c r="D899" t="s">
        <v>225</v>
      </c>
      <c r="E899">
        <v>20.83</v>
      </c>
    </row>
    <row r="900" spans="1:5" hidden="1" x14ac:dyDescent="0.3">
      <c r="A900" t="s">
        <v>5</v>
      </c>
      <c r="B900" t="s">
        <v>6</v>
      </c>
      <c r="C900" s="1">
        <v>36982</v>
      </c>
      <c r="D900" t="s">
        <v>224</v>
      </c>
      <c r="E900">
        <v>1</v>
      </c>
    </row>
    <row r="901" spans="1:5" hidden="1" x14ac:dyDescent="0.3">
      <c r="A901" t="s">
        <v>325</v>
      </c>
      <c r="B901" t="s">
        <v>326</v>
      </c>
      <c r="C901" s="1">
        <v>36982</v>
      </c>
      <c r="D901" t="s">
        <v>224</v>
      </c>
      <c r="E901">
        <v>2.64</v>
      </c>
    </row>
    <row r="902" spans="1:5" hidden="1" x14ac:dyDescent="0.3">
      <c r="A902" t="s">
        <v>327</v>
      </c>
      <c r="B902" t="s">
        <v>328</v>
      </c>
      <c r="C902" s="1">
        <v>36982</v>
      </c>
      <c r="D902" t="s">
        <v>224</v>
      </c>
      <c r="E902">
        <v>1.6</v>
      </c>
    </row>
    <row r="903" spans="1:5" x14ac:dyDescent="0.3">
      <c r="A903" t="s">
        <v>329</v>
      </c>
      <c r="B903" t="s">
        <v>330</v>
      </c>
      <c r="C903" s="1">
        <v>36982</v>
      </c>
      <c r="D903" t="s">
        <v>224</v>
      </c>
      <c r="E903">
        <v>-31.02</v>
      </c>
    </row>
    <row r="904" spans="1:5" hidden="1" x14ac:dyDescent="0.3">
      <c r="A904" t="s">
        <v>331</v>
      </c>
      <c r="B904" t="s">
        <v>332</v>
      </c>
      <c r="C904" s="1">
        <v>36982</v>
      </c>
      <c r="D904" t="s">
        <v>224</v>
      </c>
      <c r="E904">
        <v>3.36</v>
      </c>
    </row>
    <row r="905" spans="1:5" hidden="1" x14ac:dyDescent="0.3">
      <c r="A905" t="s">
        <v>333</v>
      </c>
      <c r="B905" t="s">
        <v>334</v>
      </c>
      <c r="C905" s="1">
        <v>36982</v>
      </c>
      <c r="D905" t="s">
        <v>224</v>
      </c>
      <c r="E905">
        <v>-2.25</v>
      </c>
    </row>
    <row r="906" spans="1:5" hidden="1" x14ac:dyDescent="0.3">
      <c r="A906" t="s">
        <v>335</v>
      </c>
      <c r="B906" t="s">
        <v>336</v>
      </c>
      <c r="C906" s="1">
        <v>36982</v>
      </c>
      <c r="D906" t="s">
        <v>224</v>
      </c>
      <c r="E906">
        <v>-16.329999999999998</v>
      </c>
    </row>
    <row r="907" spans="1:5" hidden="1" x14ac:dyDescent="0.3">
      <c r="A907" t="s">
        <v>337</v>
      </c>
      <c r="B907" t="s">
        <v>338</v>
      </c>
      <c r="C907" s="1">
        <v>36982</v>
      </c>
      <c r="D907" t="s">
        <v>224</v>
      </c>
      <c r="E907">
        <v>0.28000000000000003</v>
      </c>
    </row>
    <row r="908" spans="1:5" hidden="1" x14ac:dyDescent="0.3">
      <c r="A908" t="s">
        <v>371</v>
      </c>
      <c r="B908" t="s">
        <v>372</v>
      </c>
      <c r="C908" s="1">
        <v>36982</v>
      </c>
      <c r="D908" t="s">
        <v>224</v>
      </c>
      <c r="E908">
        <v>11.87</v>
      </c>
    </row>
    <row r="909" spans="1:5" hidden="1" x14ac:dyDescent="0.3">
      <c r="A909" t="s">
        <v>5</v>
      </c>
      <c r="B909" t="s">
        <v>6</v>
      </c>
      <c r="C909" s="1">
        <v>36892</v>
      </c>
      <c r="D909" t="s">
        <v>223</v>
      </c>
      <c r="E909">
        <v>2.2000000000000002</v>
      </c>
    </row>
    <row r="910" spans="1:5" hidden="1" x14ac:dyDescent="0.3">
      <c r="A910" t="s">
        <v>325</v>
      </c>
      <c r="B910" t="s">
        <v>326</v>
      </c>
      <c r="C910" s="1">
        <v>36892</v>
      </c>
      <c r="D910" t="s">
        <v>223</v>
      </c>
      <c r="E910">
        <v>2.65</v>
      </c>
    </row>
    <row r="911" spans="1:5" hidden="1" x14ac:dyDescent="0.3">
      <c r="A911" t="s">
        <v>327</v>
      </c>
      <c r="B911" t="s">
        <v>328</v>
      </c>
      <c r="C911" s="1">
        <v>36892</v>
      </c>
      <c r="D911" t="s">
        <v>223</v>
      </c>
      <c r="E911">
        <v>1.52</v>
      </c>
    </row>
    <row r="912" spans="1:5" x14ac:dyDescent="0.3">
      <c r="A912" t="s">
        <v>329</v>
      </c>
      <c r="B912" t="s">
        <v>330</v>
      </c>
      <c r="C912" s="1">
        <v>36892</v>
      </c>
      <c r="D912" t="s">
        <v>223</v>
      </c>
      <c r="E912">
        <v>-1.48</v>
      </c>
    </row>
    <row r="913" spans="1:5" hidden="1" x14ac:dyDescent="0.3">
      <c r="A913" t="s">
        <v>331</v>
      </c>
      <c r="B913" t="s">
        <v>332</v>
      </c>
      <c r="C913" s="1">
        <v>36892</v>
      </c>
      <c r="D913" t="s">
        <v>223</v>
      </c>
      <c r="E913">
        <v>2.4</v>
      </c>
    </row>
    <row r="914" spans="1:5" hidden="1" x14ac:dyDescent="0.3">
      <c r="A914" t="s">
        <v>333</v>
      </c>
      <c r="B914" t="s">
        <v>334</v>
      </c>
      <c r="C914" s="1">
        <v>36892</v>
      </c>
      <c r="D914" t="s">
        <v>223</v>
      </c>
      <c r="E914">
        <v>11.11</v>
      </c>
    </row>
    <row r="915" spans="1:5" hidden="1" x14ac:dyDescent="0.3">
      <c r="A915" t="s">
        <v>335</v>
      </c>
      <c r="B915" t="s">
        <v>336</v>
      </c>
      <c r="C915" s="1">
        <v>36892</v>
      </c>
      <c r="D915" t="s">
        <v>223</v>
      </c>
      <c r="E915">
        <v>-16.22</v>
      </c>
    </row>
    <row r="916" spans="1:5" hidden="1" x14ac:dyDescent="0.3">
      <c r="A916" t="s">
        <v>337</v>
      </c>
      <c r="B916" t="s">
        <v>338</v>
      </c>
      <c r="C916" s="1">
        <v>36892</v>
      </c>
      <c r="D916" t="s">
        <v>223</v>
      </c>
      <c r="E916">
        <v>1.1399999999999999</v>
      </c>
    </row>
    <row r="917" spans="1:5" hidden="1" x14ac:dyDescent="0.3">
      <c r="A917" t="s">
        <v>371</v>
      </c>
      <c r="B917" t="s">
        <v>372</v>
      </c>
      <c r="C917" s="1">
        <v>36892</v>
      </c>
      <c r="D917" t="s">
        <v>223</v>
      </c>
      <c r="E917">
        <v>4.96</v>
      </c>
    </row>
    <row r="918" spans="1:5" hidden="1" x14ac:dyDescent="0.3">
      <c r="A918" t="s">
        <v>5</v>
      </c>
      <c r="B918" t="s">
        <v>6</v>
      </c>
      <c r="C918" s="1">
        <v>36800</v>
      </c>
      <c r="D918" t="s">
        <v>222</v>
      </c>
      <c r="E918">
        <v>2.91</v>
      </c>
    </row>
    <row r="919" spans="1:5" hidden="1" x14ac:dyDescent="0.3">
      <c r="A919" t="s">
        <v>325</v>
      </c>
      <c r="B919" t="s">
        <v>326</v>
      </c>
      <c r="C919" s="1">
        <v>36800</v>
      </c>
      <c r="D919" t="s">
        <v>222</v>
      </c>
      <c r="E919">
        <v>2.58</v>
      </c>
    </row>
    <row r="920" spans="1:5" hidden="1" x14ac:dyDescent="0.3">
      <c r="A920" t="s">
        <v>327</v>
      </c>
      <c r="B920" t="s">
        <v>328</v>
      </c>
      <c r="C920" s="1">
        <v>36800</v>
      </c>
      <c r="D920" t="s">
        <v>222</v>
      </c>
      <c r="E920">
        <v>1.2</v>
      </c>
    </row>
    <row r="921" spans="1:5" x14ac:dyDescent="0.3">
      <c r="A921" t="s">
        <v>329</v>
      </c>
      <c r="B921" t="s">
        <v>330</v>
      </c>
      <c r="C921" s="1">
        <v>36800</v>
      </c>
      <c r="D921" t="s">
        <v>222</v>
      </c>
      <c r="E921">
        <v>21.97</v>
      </c>
    </row>
    <row r="922" spans="1:5" hidden="1" x14ac:dyDescent="0.3">
      <c r="A922" t="s">
        <v>331</v>
      </c>
      <c r="B922" t="s">
        <v>332</v>
      </c>
      <c r="C922" s="1">
        <v>36800</v>
      </c>
      <c r="D922" t="s">
        <v>222</v>
      </c>
      <c r="E922">
        <v>4.03</v>
      </c>
    </row>
    <row r="923" spans="1:5" hidden="1" x14ac:dyDescent="0.3">
      <c r="A923" t="s">
        <v>333</v>
      </c>
      <c r="B923" t="s">
        <v>334</v>
      </c>
      <c r="C923" s="1">
        <v>36800</v>
      </c>
      <c r="D923" t="s">
        <v>222</v>
      </c>
      <c r="E923">
        <v>34.32</v>
      </c>
    </row>
    <row r="924" spans="1:5" hidden="1" x14ac:dyDescent="0.3">
      <c r="A924" t="s">
        <v>335</v>
      </c>
      <c r="B924" t="s">
        <v>336</v>
      </c>
      <c r="C924" s="1">
        <v>36800</v>
      </c>
      <c r="D924" t="s">
        <v>222</v>
      </c>
      <c r="E924">
        <v>-1.27</v>
      </c>
    </row>
    <row r="925" spans="1:5" hidden="1" x14ac:dyDescent="0.3">
      <c r="A925" t="s">
        <v>337</v>
      </c>
      <c r="B925" t="s">
        <v>338</v>
      </c>
      <c r="C925" s="1">
        <v>36800</v>
      </c>
      <c r="D925" t="s">
        <v>222</v>
      </c>
      <c r="E925">
        <v>1.58</v>
      </c>
    </row>
    <row r="926" spans="1:5" hidden="1" x14ac:dyDescent="0.3">
      <c r="A926" t="s">
        <v>371</v>
      </c>
      <c r="B926" t="s">
        <v>372</v>
      </c>
      <c r="C926" s="1">
        <v>36800</v>
      </c>
      <c r="D926" t="s">
        <v>222</v>
      </c>
      <c r="E926">
        <v>-4.1100000000000003</v>
      </c>
    </row>
    <row r="927" spans="1:5" hidden="1" x14ac:dyDescent="0.3">
      <c r="A927" t="s">
        <v>5</v>
      </c>
      <c r="B927" t="s">
        <v>6</v>
      </c>
      <c r="C927" s="1">
        <v>36708</v>
      </c>
      <c r="D927" t="s">
        <v>221</v>
      </c>
      <c r="E927">
        <v>3.97</v>
      </c>
    </row>
    <row r="928" spans="1:5" hidden="1" x14ac:dyDescent="0.3">
      <c r="A928" t="s">
        <v>325</v>
      </c>
      <c r="B928" t="s">
        <v>326</v>
      </c>
      <c r="C928" s="1">
        <v>36708</v>
      </c>
      <c r="D928" t="s">
        <v>221</v>
      </c>
      <c r="E928">
        <v>2.54</v>
      </c>
    </row>
    <row r="929" spans="1:5" hidden="1" x14ac:dyDescent="0.3">
      <c r="A929" t="s">
        <v>327</v>
      </c>
      <c r="B929" t="s">
        <v>328</v>
      </c>
      <c r="C929" s="1">
        <v>36708</v>
      </c>
      <c r="D929" t="s">
        <v>221</v>
      </c>
      <c r="E929">
        <v>1.58</v>
      </c>
    </row>
    <row r="930" spans="1:5" x14ac:dyDescent="0.3">
      <c r="A930" t="s">
        <v>329</v>
      </c>
      <c r="B930" t="s">
        <v>330</v>
      </c>
      <c r="C930" s="1">
        <v>36708</v>
      </c>
      <c r="D930" t="s">
        <v>221</v>
      </c>
      <c r="E930">
        <v>28.02</v>
      </c>
    </row>
    <row r="931" spans="1:5" hidden="1" x14ac:dyDescent="0.3">
      <c r="A931" t="s">
        <v>331</v>
      </c>
      <c r="B931" t="s">
        <v>332</v>
      </c>
      <c r="C931" s="1">
        <v>36708</v>
      </c>
      <c r="D931" t="s">
        <v>221</v>
      </c>
      <c r="E931">
        <v>5.65</v>
      </c>
    </row>
    <row r="932" spans="1:5" hidden="1" x14ac:dyDescent="0.3">
      <c r="A932" t="s">
        <v>333</v>
      </c>
      <c r="B932" t="s">
        <v>334</v>
      </c>
      <c r="C932" s="1">
        <v>36708</v>
      </c>
      <c r="D932" t="s">
        <v>221</v>
      </c>
      <c r="E932">
        <v>38.9</v>
      </c>
    </row>
    <row r="933" spans="1:5" hidden="1" x14ac:dyDescent="0.3">
      <c r="A933" t="s">
        <v>335</v>
      </c>
      <c r="B933" t="s">
        <v>336</v>
      </c>
      <c r="C933" s="1">
        <v>36708</v>
      </c>
      <c r="D933" t="s">
        <v>221</v>
      </c>
      <c r="E933">
        <v>1.48</v>
      </c>
    </row>
    <row r="934" spans="1:5" hidden="1" x14ac:dyDescent="0.3">
      <c r="A934" t="s">
        <v>337</v>
      </c>
      <c r="B934" t="s">
        <v>338</v>
      </c>
      <c r="C934" s="1">
        <v>36708</v>
      </c>
      <c r="D934" t="s">
        <v>221</v>
      </c>
      <c r="E934">
        <v>2.0699999999999998</v>
      </c>
    </row>
    <row r="935" spans="1:5" hidden="1" x14ac:dyDescent="0.3">
      <c r="A935" t="s">
        <v>371</v>
      </c>
      <c r="B935" t="s">
        <v>372</v>
      </c>
      <c r="C935" s="1">
        <v>36708</v>
      </c>
      <c r="D935" t="s">
        <v>221</v>
      </c>
      <c r="E935">
        <v>-5.5</v>
      </c>
    </row>
    <row r="936" spans="1:5" hidden="1" x14ac:dyDescent="0.3">
      <c r="A936" t="s">
        <v>5</v>
      </c>
      <c r="B936" t="s">
        <v>6</v>
      </c>
      <c r="C936" s="1">
        <v>36617</v>
      </c>
      <c r="D936" t="s">
        <v>220</v>
      </c>
      <c r="E936">
        <v>5.24</v>
      </c>
    </row>
    <row r="937" spans="1:5" hidden="1" x14ac:dyDescent="0.3">
      <c r="A937" t="s">
        <v>325</v>
      </c>
      <c r="B937" t="s">
        <v>326</v>
      </c>
      <c r="C937" s="1">
        <v>36617</v>
      </c>
      <c r="D937" t="s">
        <v>220</v>
      </c>
      <c r="E937">
        <v>2.4</v>
      </c>
    </row>
    <row r="938" spans="1:5" hidden="1" x14ac:dyDescent="0.3">
      <c r="A938" t="s">
        <v>327</v>
      </c>
      <c r="B938" t="s">
        <v>328</v>
      </c>
      <c r="C938" s="1">
        <v>36617</v>
      </c>
      <c r="D938" t="s">
        <v>220</v>
      </c>
      <c r="E938">
        <v>1.33</v>
      </c>
    </row>
    <row r="939" spans="1:5" x14ac:dyDescent="0.3">
      <c r="A939" t="s">
        <v>329</v>
      </c>
      <c r="B939" t="s">
        <v>330</v>
      </c>
      <c r="C939" s="1">
        <v>36617</v>
      </c>
      <c r="D939" t="s">
        <v>220</v>
      </c>
      <c r="E939">
        <v>32.15</v>
      </c>
    </row>
    <row r="940" spans="1:5" hidden="1" x14ac:dyDescent="0.3">
      <c r="A940" t="s">
        <v>331</v>
      </c>
      <c r="B940" t="s">
        <v>332</v>
      </c>
      <c r="C940" s="1">
        <v>36617</v>
      </c>
      <c r="D940" t="s">
        <v>220</v>
      </c>
      <c r="E940">
        <v>7.19</v>
      </c>
    </row>
    <row r="941" spans="1:5" hidden="1" x14ac:dyDescent="0.3">
      <c r="A941" t="s">
        <v>333</v>
      </c>
      <c r="B941" t="s">
        <v>334</v>
      </c>
      <c r="C941" s="1">
        <v>36617</v>
      </c>
      <c r="D941" t="s">
        <v>220</v>
      </c>
      <c r="E941">
        <v>46.23</v>
      </c>
    </row>
    <row r="942" spans="1:5" hidden="1" x14ac:dyDescent="0.3">
      <c r="A942" t="s">
        <v>335</v>
      </c>
      <c r="B942" t="s">
        <v>336</v>
      </c>
      <c r="C942" s="1">
        <v>36617</v>
      </c>
      <c r="D942" t="s">
        <v>220</v>
      </c>
      <c r="E942">
        <v>2.39</v>
      </c>
    </row>
    <row r="943" spans="1:5" hidden="1" x14ac:dyDescent="0.3">
      <c r="A943" t="s">
        <v>337</v>
      </c>
      <c r="B943" t="s">
        <v>338</v>
      </c>
      <c r="C943" s="1">
        <v>36617</v>
      </c>
      <c r="D943" t="s">
        <v>220</v>
      </c>
      <c r="E943">
        <v>2.4700000000000002</v>
      </c>
    </row>
    <row r="944" spans="1:5" hidden="1" x14ac:dyDescent="0.3">
      <c r="A944" t="s">
        <v>371</v>
      </c>
      <c r="B944" t="s">
        <v>372</v>
      </c>
      <c r="C944" s="1">
        <v>36617</v>
      </c>
      <c r="D944" t="s">
        <v>220</v>
      </c>
      <c r="E944">
        <v>-7.83</v>
      </c>
    </row>
    <row r="945" spans="1:5" hidden="1" x14ac:dyDescent="0.3">
      <c r="A945" t="s">
        <v>5</v>
      </c>
      <c r="B945" t="s">
        <v>6</v>
      </c>
      <c r="C945" s="1">
        <v>36526</v>
      </c>
      <c r="D945" t="s">
        <v>219</v>
      </c>
      <c r="E945">
        <v>4.22</v>
      </c>
    </row>
    <row r="946" spans="1:5" hidden="1" x14ac:dyDescent="0.3">
      <c r="A946" t="s">
        <v>325</v>
      </c>
      <c r="B946" t="s">
        <v>326</v>
      </c>
      <c r="C946" s="1">
        <v>36526</v>
      </c>
      <c r="D946" t="s">
        <v>219</v>
      </c>
      <c r="E946">
        <v>2.2400000000000002</v>
      </c>
    </row>
    <row r="947" spans="1:5" hidden="1" x14ac:dyDescent="0.3">
      <c r="A947" t="s">
        <v>327</v>
      </c>
      <c r="B947" t="s">
        <v>328</v>
      </c>
      <c r="C947" s="1">
        <v>36526</v>
      </c>
      <c r="D947" t="s">
        <v>219</v>
      </c>
      <c r="E947">
        <v>1.03</v>
      </c>
    </row>
    <row r="948" spans="1:5" x14ac:dyDescent="0.3">
      <c r="A948" t="s">
        <v>329</v>
      </c>
      <c r="B948" t="s">
        <v>330</v>
      </c>
      <c r="C948" s="1">
        <v>36526</v>
      </c>
      <c r="D948" t="s">
        <v>219</v>
      </c>
      <c r="E948">
        <v>19.95</v>
      </c>
    </row>
    <row r="949" spans="1:5" hidden="1" x14ac:dyDescent="0.3">
      <c r="A949" t="s">
        <v>331</v>
      </c>
      <c r="B949" t="s">
        <v>332</v>
      </c>
      <c r="C949" s="1">
        <v>36526</v>
      </c>
      <c r="D949" t="s">
        <v>219</v>
      </c>
      <c r="E949">
        <v>9.33</v>
      </c>
    </row>
    <row r="950" spans="1:5" hidden="1" x14ac:dyDescent="0.3">
      <c r="A950" t="s">
        <v>333</v>
      </c>
      <c r="B950" t="s">
        <v>334</v>
      </c>
      <c r="C950" s="1">
        <v>36526</v>
      </c>
      <c r="D950" t="s">
        <v>219</v>
      </c>
      <c r="E950">
        <v>71.09</v>
      </c>
    </row>
    <row r="951" spans="1:5" hidden="1" x14ac:dyDescent="0.3">
      <c r="A951" t="s">
        <v>335</v>
      </c>
      <c r="B951" t="s">
        <v>336</v>
      </c>
      <c r="C951" s="1">
        <v>36526</v>
      </c>
      <c r="D951" t="s">
        <v>219</v>
      </c>
      <c r="E951">
        <v>4</v>
      </c>
    </row>
    <row r="952" spans="1:5" hidden="1" x14ac:dyDescent="0.3">
      <c r="A952" t="s">
        <v>337</v>
      </c>
      <c r="B952" t="s">
        <v>338</v>
      </c>
      <c r="C952" s="1">
        <v>36526</v>
      </c>
      <c r="D952" t="s">
        <v>219</v>
      </c>
      <c r="E952">
        <v>2.52</v>
      </c>
    </row>
    <row r="953" spans="1:5" hidden="1" x14ac:dyDescent="0.3">
      <c r="A953" t="s">
        <v>371</v>
      </c>
      <c r="B953" t="s">
        <v>372</v>
      </c>
      <c r="C953" s="1">
        <v>36526</v>
      </c>
      <c r="D953" t="s">
        <v>219</v>
      </c>
      <c r="E953">
        <v>-6.21</v>
      </c>
    </row>
    <row r="954" spans="1:5" hidden="1" x14ac:dyDescent="0.3">
      <c r="A954" t="s">
        <v>5</v>
      </c>
      <c r="B954" t="s">
        <v>6</v>
      </c>
      <c r="C954" s="1">
        <v>36434</v>
      </c>
      <c r="D954" t="s">
        <v>218</v>
      </c>
      <c r="E954">
        <v>4.82</v>
      </c>
    </row>
    <row r="955" spans="1:5" hidden="1" x14ac:dyDescent="0.3">
      <c r="A955" t="s">
        <v>325</v>
      </c>
      <c r="B955" t="s">
        <v>326</v>
      </c>
      <c r="C955" s="1">
        <v>36434</v>
      </c>
      <c r="D955" t="s">
        <v>218</v>
      </c>
      <c r="E955">
        <v>2.02</v>
      </c>
    </row>
    <row r="956" spans="1:5" hidden="1" x14ac:dyDescent="0.3">
      <c r="A956" t="s">
        <v>327</v>
      </c>
      <c r="B956" t="s">
        <v>328</v>
      </c>
      <c r="C956" s="1">
        <v>36434</v>
      </c>
      <c r="D956" t="s">
        <v>218</v>
      </c>
      <c r="E956">
        <v>1.5</v>
      </c>
    </row>
    <row r="957" spans="1:5" x14ac:dyDescent="0.3">
      <c r="A957" t="s">
        <v>329</v>
      </c>
      <c r="B957" t="s">
        <v>330</v>
      </c>
      <c r="C957" s="1">
        <v>36434</v>
      </c>
      <c r="D957" t="s">
        <v>218</v>
      </c>
      <c r="E957">
        <v>9.1999999999999993</v>
      </c>
    </row>
    <row r="958" spans="1:5" hidden="1" x14ac:dyDescent="0.3">
      <c r="A958" t="s">
        <v>331</v>
      </c>
      <c r="B958" t="s">
        <v>332</v>
      </c>
      <c r="C958" s="1">
        <v>36434</v>
      </c>
      <c r="D958" t="s">
        <v>218</v>
      </c>
      <c r="E958">
        <v>8.73</v>
      </c>
    </row>
    <row r="959" spans="1:5" hidden="1" x14ac:dyDescent="0.3">
      <c r="A959" t="s">
        <v>333</v>
      </c>
      <c r="B959" t="s">
        <v>334</v>
      </c>
      <c r="C959" s="1">
        <v>36434</v>
      </c>
      <c r="D959" t="s">
        <v>218</v>
      </c>
      <c r="E959">
        <v>59.36</v>
      </c>
    </row>
    <row r="960" spans="1:5" hidden="1" x14ac:dyDescent="0.3">
      <c r="A960" t="s">
        <v>335</v>
      </c>
      <c r="B960" t="s">
        <v>336</v>
      </c>
      <c r="C960" s="1">
        <v>36434</v>
      </c>
      <c r="D960" t="s">
        <v>218</v>
      </c>
      <c r="E960">
        <v>5.0599999999999996</v>
      </c>
    </row>
    <row r="961" spans="1:5" hidden="1" x14ac:dyDescent="0.3">
      <c r="A961" t="s">
        <v>337</v>
      </c>
      <c r="B961" t="s">
        <v>338</v>
      </c>
      <c r="C961" s="1">
        <v>36434</v>
      </c>
      <c r="D961" t="s">
        <v>218</v>
      </c>
      <c r="E961">
        <v>2.5299999999999998</v>
      </c>
    </row>
    <row r="962" spans="1:5" hidden="1" x14ac:dyDescent="0.3">
      <c r="A962" t="s">
        <v>371</v>
      </c>
      <c r="B962" t="s">
        <v>372</v>
      </c>
      <c r="C962" s="1">
        <v>36434</v>
      </c>
      <c r="D962" t="s">
        <v>218</v>
      </c>
      <c r="E962">
        <v>-8.26</v>
      </c>
    </row>
    <row r="963" spans="1:5" hidden="1" x14ac:dyDescent="0.3">
      <c r="A963" t="s">
        <v>5</v>
      </c>
      <c r="B963" t="s">
        <v>6</v>
      </c>
      <c r="C963" s="1">
        <v>36342</v>
      </c>
      <c r="D963" t="s">
        <v>217</v>
      </c>
      <c r="E963">
        <v>4.79</v>
      </c>
    </row>
    <row r="964" spans="1:5" hidden="1" x14ac:dyDescent="0.3">
      <c r="A964" t="s">
        <v>325</v>
      </c>
      <c r="B964" t="s">
        <v>326</v>
      </c>
      <c r="C964" s="1">
        <v>36342</v>
      </c>
      <c r="D964" t="s">
        <v>217</v>
      </c>
      <c r="E964">
        <v>2.0099999999999998</v>
      </c>
    </row>
    <row r="965" spans="1:5" hidden="1" x14ac:dyDescent="0.3">
      <c r="A965" t="s">
        <v>327</v>
      </c>
      <c r="B965" t="s">
        <v>328</v>
      </c>
      <c r="C965" s="1">
        <v>36342</v>
      </c>
      <c r="D965" t="s">
        <v>217</v>
      </c>
      <c r="E965">
        <v>1.48</v>
      </c>
    </row>
    <row r="966" spans="1:5" x14ac:dyDescent="0.3">
      <c r="A966" t="s">
        <v>329</v>
      </c>
      <c r="B966" t="s">
        <v>330</v>
      </c>
      <c r="C966" s="1">
        <v>36342</v>
      </c>
      <c r="D966" t="s">
        <v>217</v>
      </c>
      <c r="E966">
        <v>-7.95</v>
      </c>
    </row>
    <row r="967" spans="1:5" hidden="1" x14ac:dyDescent="0.3">
      <c r="A967" t="s">
        <v>331</v>
      </c>
      <c r="B967" t="s">
        <v>332</v>
      </c>
      <c r="C967" s="1">
        <v>36342</v>
      </c>
      <c r="D967" t="s">
        <v>217</v>
      </c>
      <c r="E967">
        <v>9.58</v>
      </c>
    </row>
    <row r="968" spans="1:5" hidden="1" x14ac:dyDescent="0.3">
      <c r="A968" t="s">
        <v>333</v>
      </c>
      <c r="B968" t="s">
        <v>334</v>
      </c>
      <c r="C968" s="1">
        <v>36342</v>
      </c>
      <c r="D968" t="s">
        <v>217</v>
      </c>
      <c r="E968">
        <v>45.93</v>
      </c>
    </row>
    <row r="969" spans="1:5" hidden="1" x14ac:dyDescent="0.3">
      <c r="A969" t="s">
        <v>335</v>
      </c>
      <c r="B969" t="s">
        <v>336</v>
      </c>
      <c r="C969" s="1">
        <v>36342</v>
      </c>
      <c r="D969" t="s">
        <v>217</v>
      </c>
      <c r="E969">
        <v>2.3199999999999998</v>
      </c>
    </row>
    <row r="970" spans="1:5" hidden="1" x14ac:dyDescent="0.3">
      <c r="A970" t="s">
        <v>337</v>
      </c>
      <c r="B970" t="s">
        <v>338</v>
      </c>
      <c r="C970" s="1">
        <v>36342</v>
      </c>
      <c r="D970" t="s">
        <v>217</v>
      </c>
      <c r="E970">
        <v>2.44</v>
      </c>
    </row>
    <row r="971" spans="1:5" hidden="1" x14ac:dyDescent="0.3">
      <c r="A971" t="s">
        <v>371</v>
      </c>
      <c r="B971" t="s">
        <v>372</v>
      </c>
      <c r="C971" s="1">
        <v>36342</v>
      </c>
      <c r="D971" t="s">
        <v>217</v>
      </c>
      <c r="E971">
        <v>-6.62</v>
      </c>
    </row>
    <row r="972" spans="1:5" hidden="1" x14ac:dyDescent="0.3">
      <c r="A972" t="s">
        <v>5</v>
      </c>
      <c r="B972" t="s">
        <v>6</v>
      </c>
      <c r="C972" s="1">
        <v>36251</v>
      </c>
      <c r="D972" t="s">
        <v>216</v>
      </c>
      <c r="E972">
        <v>4.72</v>
      </c>
    </row>
    <row r="973" spans="1:5" hidden="1" x14ac:dyDescent="0.3">
      <c r="A973" t="s">
        <v>325</v>
      </c>
      <c r="B973" t="s">
        <v>326</v>
      </c>
      <c r="C973" s="1">
        <v>36251</v>
      </c>
      <c r="D973" t="s">
        <v>216</v>
      </c>
      <c r="E973">
        <v>2.08</v>
      </c>
    </row>
    <row r="974" spans="1:5" hidden="1" x14ac:dyDescent="0.3">
      <c r="A974" t="s">
        <v>327</v>
      </c>
      <c r="B974" t="s">
        <v>328</v>
      </c>
      <c r="C974" s="1">
        <v>36251</v>
      </c>
      <c r="D974" t="s">
        <v>216</v>
      </c>
      <c r="E974">
        <v>1.58</v>
      </c>
    </row>
    <row r="975" spans="1:5" x14ac:dyDescent="0.3">
      <c r="A975" t="s">
        <v>329</v>
      </c>
      <c r="B975" t="s">
        <v>330</v>
      </c>
      <c r="C975" s="1">
        <v>36251</v>
      </c>
      <c r="D975" t="s">
        <v>216</v>
      </c>
      <c r="E975">
        <v>-13.69</v>
      </c>
    </row>
    <row r="976" spans="1:5" hidden="1" x14ac:dyDescent="0.3">
      <c r="A976" t="s">
        <v>331</v>
      </c>
      <c r="B976" t="s">
        <v>332</v>
      </c>
      <c r="C976" s="1">
        <v>36251</v>
      </c>
      <c r="D976" t="s">
        <v>216</v>
      </c>
      <c r="E976">
        <v>7.16</v>
      </c>
    </row>
    <row r="977" spans="1:5" hidden="1" x14ac:dyDescent="0.3">
      <c r="A977" t="s">
        <v>333</v>
      </c>
      <c r="B977" t="s">
        <v>334</v>
      </c>
      <c r="C977" s="1">
        <v>36251</v>
      </c>
      <c r="D977" t="s">
        <v>216</v>
      </c>
      <c r="E977">
        <v>39.74</v>
      </c>
    </row>
    <row r="978" spans="1:5" hidden="1" x14ac:dyDescent="0.3">
      <c r="A978" t="s">
        <v>335</v>
      </c>
      <c r="B978" t="s">
        <v>336</v>
      </c>
      <c r="C978" s="1">
        <v>36251</v>
      </c>
      <c r="D978" t="s">
        <v>216</v>
      </c>
      <c r="E978">
        <v>-0.65</v>
      </c>
    </row>
    <row r="979" spans="1:5" hidden="1" x14ac:dyDescent="0.3">
      <c r="A979" t="s">
        <v>337</v>
      </c>
      <c r="B979" t="s">
        <v>338</v>
      </c>
      <c r="C979" s="1">
        <v>36251</v>
      </c>
      <c r="D979" t="s">
        <v>216</v>
      </c>
      <c r="E979">
        <v>2.42</v>
      </c>
    </row>
    <row r="980" spans="1:5" hidden="1" x14ac:dyDescent="0.3">
      <c r="A980" t="s">
        <v>371</v>
      </c>
      <c r="B980" t="s">
        <v>372</v>
      </c>
      <c r="C980" s="1">
        <v>36251</v>
      </c>
      <c r="D980" t="s">
        <v>216</v>
      </c>
      <c r="E980">
        <v>-3.02</v>
      </c>
    </row>
    <row r="981" spans="1:5" hidden="1" x14ac:dyDescent="0.3">
      <c r="A981" t="s">
        <v>5</v>
      </c>
      <c r="B981" t="s">
        <v>6</v>
      </c>
      <c r="C981" s="1">
        <v>36161</v>
      </c>
      <c r="D981" t="s">
        <v>215</v>
      </c>
      <c r="E981">
        <v>4.82</v>
      </c>
    </row>
    <row r="982" spans="1:5" hidden="1" x14ac:dyDescent="0.3">
      <c r="A982" t="s">
        <v>325</v>
      </c>
      <c r="B982" t="s">
        <v>326</v>
      </c>
      <c r="C982" s="1">
        <v>36161</v>
      </c>
      <c r="D982" t="s">
        <v>215</v>
      </c>
      <c r="E982">
        <v>2.17</v>
      </c>
    </row>
    <row r="983" spans="1:5" hidden="1" x14ac:dyDescent="0.3">
      <c r="A983" t="s">
        <v>327</v>
      </c>
      <c r="B983" t="s">
        <v>328</v>
      </c>
      <c r="C983" s="1">
        <v>36161</v>
      </c>
      <c r="D983" t="s">
        <v>215</v>
      </c>
      <c r="E983">
        <v>2.0299999999999998</v>
      </c>
    </row>
    <row r="984" spans="1:5" x14ac:dyDescent="0.3">
      <c r="A984" t="s">
        <v>329</v>
      </c>
      <c r="B984" t="s">
        <v>330</v>
      </c>
      <c r="C984" s="1">
        <v>36161</v>
      </c>
      <c r="D984" t="s">
        <v>215</v>
      </c>
      <c r="E984">
        <v>-14.26</v>
      </c>
    </row>
    <row r="985" spans="1:5" hidden="1" x14ac:dyDescent="0.3">
      <c r="A985" t="s">
        <v>331</v>
      </c>
      <c r="B985" t="s">
        <v>332</v>
      </c>
      <c r="C985" s="1">
        <v>36161</v>
      </c>
      <c r="D985" t="s">
        <v>215</v>
      </c>
      <c r="E985">
        <v>7.33</v>
      </c>
    </row>
    <row r="986" spans="1:5" hidden="1" x14ac:dyDescent="0.3">
      <c r="A986" t="s">
        <v>333</v>
      </c>
      <c r="B986" t="s">
        <v>334</v>
      </c>
      <c r="C986" s="1">
        <v>36161</v>
      </c>
      <c r="D986" t="s">
        <v>215</v>
      </c>
      <c r="E986">
        <v>39.21</v>
      </c>
    </row>
    <row r="987" spans="1:5" hidden="1" x14ac:dyDescent="0.3">
      <c r="A987" t="s">
        <v>335</v>
      </c>
      <c r="B987" t="s">
        <v>336</v>
      </c>
      <c r="C987" s="1">
        <v>36161</v>
      </c>
      <c r="D987" t="s">
        <v>215</v>
      </c>
      <c r="E987">
        <v>-1.79</v>
      </c>
    </row>
    <row r="988" spans="1:5" hidden="1" x14ac:dyDescent="0.3">
      <c r="A988" t="s">
        <v>337</v>
      </c>
      <c r="B988" t="s">
        <v>338</v>
      </c>
      <c r="C988" s="1">
        <v>36161</v>
      </c>
      <c r="D988" t="s">
        <v>215</v>
      </c>
      <c r="E988">
        <v>2.42</v>
      </c>
    </row>
    <row r="989" spans="1:5" hidden="1" x14ac:dyDescent="0.3">
      <c r="A989" t="s">
        <v>371</v>
      </c>
      <c r="B989" t="s">
        <v>372</v>
      </c>
      <c r="C989" s="1">
        <v>36161</v>
      </c>
      <c r="D989" t="s">
        <v>215</v>
      </c>
      <c r="E989">
        <v>-7.19</v>
      </c>
    </row>
    <row r="990" spans="1:5" hidden="1" x14ac:dyDescent="0.3">
      <c r="A990" t="s">
        <v>5</v>
      </c>
      <c r="B990" t="s">
        <v>6</v>
      </c>
      <c r="C990" s="1">
        <v>36069</v>
      </c>
      <c r="D990" t="s">
        <v>214</v>
      </c>
      <c r="E990">
        <v>4.88</v>
      </c>
    </row>
    <row r="991" spans="1:5" hidden="1" x14ac:dyDescent="0.3">
      <c r="A991" t="s">
        <v>325</v>
      </c>
      <c r="B991" t="s">
        <v>326</v>
      </c>
      <c r="C991" s="1">
        <v>36069</v>
      </c>
      <c r="D991" t="s">
        <v>214</v>
      </c>
      <c r="E991">
        <v>2.34</v>
      </c>
    </row>
    <row r="992" spans="1:5" hidden="1" x14ac:dyDescent="0.3">
      <c r="A992" t="s">
        <v>327</v>
      </c>
      <c r="B992" t="s">
        <v>328</v>
      </c>
      <c r="C992" s="1">
        <v>36069</v>
      </c>
      <c r="D992" t="s">
        <v>214</v>
      </c>
      <c r="E992">
        <v>1.64</v>
      </c>
    </row>
    <row r="993" spans="1:5" x14ac:dyDescent="0.3">
      <c r="A993" t="s">
        <v>329</v>
      </c>
      <c r="B993" t="s">
        <v>330</v>
      </c>
      <c r="C993" s="1">
        <v>36069</v>
      </c>
      <c r="D993" t="s">
        <v>214</v>
      </c>
      <c r="E993">
        <v>-11.75</v>
      </c>
    </row>
    <row r="994" spans="1:5" hidden="1" x14ac:dyDescent="0.3">
      <c r="A994" t="s">
        <v>331</v>
      </c>
      <c r="B994" t="s">
        <v>332</v>
      </c>
      <c r="C994" s="1">
        <v>36069</v>
      </c>
      <c r="D994" t="s">
        <v>214</v>
      </c>
      <c r="E994">
        <v>6.04</v>
      </c>
    </row>
    <row r="995" spans="1:5" hidden="1" x14ac:dyDescent="0.3">
      <c r="A995" t="s">
        <v>333</v>
      </c>
      <c r="B995" t="s">
        <v>334</v>
      </c>
      <c r="C995" s="1">
        <v>36069</v>
      </c>
      <c r="D995" t="s">
        <v>214</v>
      </c>
      <c r="E995">
        <v>48.3</v>
      </c>
    </row>
    <row r="996" spans="1:5" hidden="1" x14ac:dyDescent="0.3">
      <c r="A996" t="s">
        <v>335</v>
      </c>
      <c r="B996" t="s">
        <v>336</v>
      </c>
      <c r="C996" s="1">
        <v>36069</v>
      </c>
      <c r="D996" t="s">
        <v>214</v>
      </c>
      <c r="E996">
        <v>-4.54</v>
      </c>
    </row>
    <row r="997" spans="1:5" hidden="1" x14ac:dyDescent="0.3">
      <c r="A997" t="s">
        <v>337</v>
      </c>
      <c r="B997" t="s">
        <v>338</v>
      </c>
      <c r="C997" s="1">
        <v>36069</v>
      </c>
      <c r="D997" t="s">
        <v>214</v>
      </c>
      <c r="E997">
        <v>2.4300000000000002</v>
      </c>
    </row>
    <row r="998" spans="1:5" hidden="1" x14ac:dyDescent="0.3">
      <c r="A998" t="s">
        <v>371</v>
      </c>
      <c r="B998" t="s">
        <v>372</v>
      </c>
      <c r="C998" s="1">
        <v>36069</v>
      </c>
      <c r="D998" t="s">
        <v>214</v>
      </c>
      <c r="E998">
        <v>-5.01</v>
      </c>
    </row>
    <row r="999" spans="1:5" hidden="1" x14ac:dyDescent="0.3">
      <c r="A999" t="s">
        <v>5</v>
      </c>
      <c r="B999" t="s">
        <v>6</v>
      </c>
      <c r="C999" s="1">
        <v>35977</v>
      </c>
      <c r="D999" t="s">
        <v>213</v>
      </c>
      <c r="E999">
        <v>4.0999999999999996</v>
      </c>
    </row>
    <row r="1000" spans="1:5" hidden="1" x14ac:dyDescent="0.3">
      <c r="A1000" t="s">
        <v>325</v>
      </c>
      <c r="B1000" t="s">
        <v>326</v>
      </c>
      <c r="C1000" s="1">
        <v>35977</v>
      </c>
      <c r="D1000" t="s">
        <v>213</v>
      </c>
      <c r="E1000">
        <v>2.35</v>
      </c>
    </row>
    <row r="1001" spans="1:5" hidden="1" x14ac:dyDescent="0.3">
      <c r="A1001" t="s">
        <v>327</v>
      </c>
      <c r="B1001" t="s">
        <v>328</v>
      </c>
      <c r="C1001" s="1">
        <v>35977</v>
      </c>
      <c r="D1001" t="s">
        <v>213</v>
      </c>
      <c r="E1001">
        <v>1.05</v>
      </c>
    </row>
    <row r="1002" spans="1:5" x14ac:dyDescent="0.3">
      <c r="A1002" t="s">
        <v>329</v>
      </c>
      <c r="B1002" t="s">
        <v>330</v>
      </c>
      <c r="C1002" s="1">
        <v>35977</v>
      </c>
      <c r="D1002" t="s">
        <v>213</v>
      </c>
      <c r="E1002">
        <v>0</v>
      </c>
    </row>
    <row r="1003" spans="1:5" hidden="1" x14ac:dyDescent="0.3">
      <c r="A1003" t="s">
        <v>331</v>
      </c>
      <c r="B1003" t="s">
        <v>332</v>
      </c>
      <c r="C1003" s="1">
        <v>35977</v>
      </c>
      <c r="D1003" t="s">
        <v>213</v>
      </c>
      <c r="E1003">
        <v>3.44</v>
      </c>
    </row>
    <row r="1004" spans="1:5" hidden="1" x14ac:dyDescent="0.3">
      <c r="A1004" t="s">
        <v>333</v>
      </c>
      <c r="B1004" t="s">
        <v>334</v>
      </c>
      <c r="C1004" s="1">
        <v>35977</v>
      </c>
      <c r="D1004" t="s">
        <v>213</v>
      </c>
      <c r="E1004">
        <v>78.87</v>
      </c>
    </row>
    <row r="1005" spans="1:5" hidden="1" x14ac:dyDescent="0.3">
      <c r="A1005" t="s">
        <v>335</v>
      </c>
      <c r="B1005" t="s">
        <v>336</v>
      </c>
      <c r="C1005" s="1">
        <v>35977</v>
      </c>
      <c r="D1005" t="s">
        <v>213</v>
      </c>
      <c r="E1005">
        <v>-2.2000000000000002</v>
      </c>
    </row>
    <row r="1006" spans="1:5" hidden="1" x14ac:dyDescent="0.3">
      <c r="A1006" t="s">
        <v>337</v>
      </c>
      <c r="B1006" t="s">
        <v>338</v>
      </c>
      <c r="C1006" s="1">
        <v>35977</v>
      </c>
      <c r="D1006" t="s">
        <v>213</v>
      </c>
      <c r="E1006">
        <v>2.63</v>
      </c>
    </row>
    <row r="1007" spans="1:5" hidden="1" x14ac:dyDescent="0.3">
      <c r="A1007" t="s">
        <v>371</v>
      </c>
      <c r="B1007" t="s">
        <v>372</v>
      </c>
      <c r="C1007" s="1">
        <v>35977</v>
      </c>
      <c r="D1007" t="s">
        <v>213</v>
      </c>
      <c r="E1007">
        <v>-6.86</v>
      </c>
    </row>
    <row r="1008" spans="1:5" hidden="1" x14ac:dyDescent="0.3">
      <c r="A1008" t="s">
        <v>5</v>
      </c>
      <c r="B1008" t="s">
        <v>6</v>
      </c>
      <c r="C1008" s="1">
        <v>35886</v>
      </c>
      <c r="D1008" t="s">
        <v>212</v>
      </c>
      <c r="E1008">
        <v>4.09</v>
      </c>
    </row>
    <row r="1009" spans="1:5" hidden="1" x14ac:dyDescent="0.3">
      <c r="A1009" t="s">
        <v>325</v>
      </c>
      <c r="B1009" t="s">
        <v>326</v>
      </c>
      <c r="C1009" s="1">
        <v>35886</v>
      </c>
      <c r="D1009" t="s">
        <v>212</v>
      </c>
      <c r="E1009">
        <v>2.19</v>
      </c>
    </row>
    <row r="1010" spans="1:5" hidden="1" x14ac:dyDescent="0.3">
      <c r="A1010" t="s">
        <v>327</v>
      </c>
      <c r="B1010" t="s">
        <v>328</v>
      </c>
      <c r="C1010" s="1">
        <v>35886</v>
      </c>
      <c r="D1010" t="s">
        <v>212</v>
      </c>
      <c r="E1010">
        <v>0.7</v>
      </c>
    </row>
    <row r="1011" spans="1:5" x14ac:dyDescent="0.3">
      <c r="A1011" t="s">
        <v>329</v>
      </c>
      <c r="B1011" t="s">
        <v>330</v>
      </c>
      <c r="C1011" s="1">
        <v>35886</v>
      </c>
      <c r="D1011" t="s">
        <v>212</v>
      </c>
      <c r="E1011">
        <v>-0.42</v>
      </c>
    </row>
    <row r="1012" spans="1:5" hidden="1" x14ac:dyDescent="0.3">
      <c r="A1012" t="s">
        <v>331</v>
      </c>
      <c r="B1012" t="s">
        <v>332</v>
      </c>
      <c r="C1012" s="1">
        <v>35886</v>
      </c>
      <c r="D1012" t="s">
        <v>212</v>
      </c>
      <c r="E1012">
        <v>5.9</v>
      </c>
    </row>
    <row r="1013" spans="1:5" hidden="1" x14ac:dyDescent="0.3">
      <c r="A1013" t="s">
        <v>333</v>
      </c>
      <c r="B1013" t="s">
        <v>334</v>
      </c>
      <c r="C1013" s="1">
        <v>35886</v>
      </c>
      <c r="D1013" t="s">
        <v>212</v>
      </c>
      <c r="E1013">
        <v>75.12</v>
      </c>
    </row>
    <row r="1014" spans="1:5" hidden="1" x14ac:dyDescent="0.3">
      <c r="A1014" t="s">
        <v>335</v>
      </c>
      <c r="B1014" t="s">
        <v>336</v>
      </c>
      <c r="C1014" s="1">
        <v>35886</v>
      </c>
      <c r="D1014" t="s">
        <v>212</v>
      </c>
      <c r="E1014">
        <v>3.79</v>
      </c>
    </row>
    <row r="1015" spans="1:5" hidden="1" x14ac:dyDescent="0.3">
      <c r="A1015" t="s">
        <v>337</v>
      </c>
      <c r="B1015" t="s">
        <v>338</v>
      </c>
      <c r="C1015" s="1">
        <v>35886</v>
      </c>
      <c r="D1015" t="s">
        <v>212</v>
      </c>
      <c r="E1015">
        <v>2.64</v>
      </c>
    </row>
    <row r="1016" spans="1:5" hidden="1" x14ac:dyDescent="0.3">
      <c r="A1016" t="s">
        <v>371</v>
      </c>
      <c r="B1016" t="s">
        <v>372</v>
      </c>
      <c r="C1016" s="1">
        <v>35886</v>
      </c>
      <c r="D1016" t="s">
        <v>212</v>
      </c>
      <c r="E1016">
        <v>-12</v>
      </c>
    </row>
    <row r="1017" spans="1:5" hidden="1" x14ac:dyDescent="0.3">
      <c r="A1017" t="s">
        <v>5</v>
      </c>
      <c r="B1017" t="s">
        <v>6</v>
      </c>
      <c r="C1017" s="1">
        <v>35796</v>
      </c>
      <c r="D1017" t="s">
        <v>211</v>
      </c>
      <c r="E1017">
        <v>4.8600000000000003</v>
      </c>
    </row>
    <row r="1018" spans="1:5" hidden="1" x14ac:dyDescent="0.3">
      <c r="A1018" t="s">
        <v>325</v>
      </c>
      <c r="B1018" t="s">
        <v>326</v>
      </c>
      <c r="C1018" s="1">
        <v>35796</v>
      </c>
      <c r="D1018" t="s">
        <v>211</v>
      </c>
      <c r="E1018">
        <v>2.2599999999999998</v>
      </c>
    </row>
    <row r="1019" spans="1:5" hidden="1" x14ac:dyDescent="0.3">
      <c r="A1019" t="s">
        <v>327</v>
      </c>
      <c r="B1019" t="s">
        <v>328</v>
      </c>
      <c r="C1019" s="1">
        <v>35796</v>
      </c>
      <c r="D1019" t="s">
        <v>211</v>
      </c>
      <c r="E1019">
        <v>0.19</v>
      </c>
    </row>
    <row r="1020" spans="1:5" x14ac:dyDescent="0.3">
      <c r="A1020" t="s">
        <v>329</v>
      </c>
      <c r="B1020" t="s">
        <v>330</v>
      </c>
      <c r="C1020" s="1">
        <v>35796</v>
      </c>
      <c r="D1020" t="s">
        <v>211</v>
      </c>
      <c r="E1020">
        <v>4.5999999999999996</v>
      </c>
    </row>
    <row r="1021" spans="1:5" hidden="1" x14ac:dyDescent="0.3">
      <c r="A1021" t="s">
        <v>331</v>
      </c>
      <c r="B1021" t="s">
        <v>332</v>
      </c>
      <c r="C1021" s="1">
        <v>35796</v>
      </c>
      <c r="D1021" t="s">
        <v>211</v>
      </c>
      <c r="E1021">
        <v>2.99</v>
      </c>
    </row>
    <row r="1022" spans="1:5" hidden="1" x14ac:dyDescent="0.3">
      <c r="A1022" t="s">
        <v>333</v>
      </c>
      <c r="B1022" t="s">
        <v>334</v>
      </c>
      <c r="C1022" s="1">
        <v>35796</v>
      </c>
      <c r="D1022" t="s">
        <v>211</v>
      </c>
      <c r="E1022">
        <v>19.68</v>
      </c>
    </row>
    <row r="1023" spans="1:5" hidden="1" x14ac:dyDescent="0.3">
      <c r="A1023" t="s">
        <v>335</v>
      </c>
      <c r="B1023" t="s">
        <v>336</v>
      </c>
      <c r="C1023" s="1">
        <v>35796</v>
      </c>
      <c r="D1023" t="s">
        <v>211</v>
      </c>
      <c r="E1023">
        <v>8.89</v>
      </c>
    </row>
    <row r="1024" spans="1:5" hidden="1" x14ac:dyDescent="0.3">
      <c r="A1024" t="s">
        <v>337</v>
      </c>
      <c r="B1024" t="s">
        <v>338</v>
      </c>
      <c r="C1024" s="1">
        <v>35796</v>
      </c>
      <c r="D1024" t="s">
        <v>211</v>
      </c>
      <c r="E1024">
        <v>2.73</v>
      </c>
    </row>
    <row r="1025" spans="1:5" hidden="1" x14ac:dyDescent="0.3">
      <c r="A1025" t="s">
        <v>371</v>
      </c>
      <c r="B1025" t="s">
        <v>372</v>
      </c>
      <c r="C1025" s="1">
        <v>35796</v>
      </c>
      <c r="D1025" t="s">
        <v>211</v>
      </c>
      <c r="E1025">
        <v>-11.47</v>
      </c>
    </row>
    <row r="1026" spans="1:5" hidden="1" x14ac:dyDescent="0.3">
      <c r="A1026" t="s">
        <v>5</v>
      </c>
      <c r="B1026" t="s">
        <v>6</v>
      </c>
      <c r="C1026" s="1">
        <v>35704</v>
      </c>
      <c r="D1026" t="s">
        <v>210</v>
      </c>
      <c r="E1026">
        <v>4.4800000000000004</v>
      </c>
    </row>
    <row r="1027" spans="1:5" hidden="1" x14ac:dyDescent="0.3">
      <c r="A1027" t="s">
        <v>325</v>
      </c>
      <c r="B1027" t="s">
        <v>326</v>
      </c>
      <c r="C1027" s="1">
        <v>35704</v>
      </c>
      <c r="D1027" t="s">
        <v>210</v>
      </c>
      <c r="E1027">
        <v>2.23</v>
      </c>
    </row>
    <row r="1028" spans="1:5" hidden="1" x14ac:dyDescent="0.3">
      <c r="A1028" t="s">
        <v>327</v>
      </c>
      <c r="B1028" t="s">
        <v>328</v>
      </c>
      <c r="C1028" s="1">
        <v>35704</v>
      </c>
      <c r="D1028" t="s">
        <v>210</v>
      </c>
      <c r="E1028">
        <v>0.14000000000000001</v>
      </c>
    </row>
    <row r="1029" spans="1:5" x14ac:dyDescent="0.3">
      <c r="A1029" t="s">
        <v>329</v>
      </c>
      <c r="B1029" t="s">
        <v>330</v>
      </c>
      <c r="C1029" s="1">
        <v>35704</v>
      </c>
      <c r="D1029" t="s">
        <v>210</v>
      </c>
      <c r="E1029">
        <v>4.3</v>
      </c>
    </row>
    <row r="1030" spans="1:5" hidden="1" x14ac:dyDescent="0.3">
      <c r="A1030" t="s">
        <v>331</v>
      </c>
      <c r="B1030" t="s">
        <v>332</v>
      </c>
      <c r="C1030" s="1">
        <v>35704</v>
      </c>
      <c r="D1030" t="s">
        <v>210</v>
      </c>
      <c r="E1030">
        <v>4.16</v>
      </c>
    </row>
    <row r="1031" spans="1:5" hidden="1" x14ac:dyDescent="0.3">
      <c r="A1031" t="s">
        <v>333</v>
      </c>
      <c r="B1031" t="s">
        <v>334</v>
      </c>
      <c r="C1031" s="1">
        <v>35704</v>
      </c>
      <c r="D1031" t="s">
        <v>210</v>
      </c>
      <c r="E1031">
        <v>23.73</v>
      </c>
    </row>
    <row r="1032" spans="1:5" hidden="1" x14ac:dyDescent="0.3">
      <c r="A1032" t="s">
        <v>335</v>
      </c>
      <c r="B1032" t="s">
        <v>336</v>
      </c>
      <c r="C1032" s="1">
        <v>35704</v>
      </c>
      <c r="D1032" t="s">
        <v>210</v>
      </c>
      <c r="E1032">
        <v>7.62</v>
      </c>
    </row>
    <row r="1033" spans="1:5" hidden="1" x14ac:dyDescent="0.3">
      <c r="A1033" t="s">
        <v>337</v>
      </c>
      <c r="B1033" t="s">
        <v>338</v>
      </c>
      <c r="C1033" s="1">
        <v>35704</v>
      </c>
      <c r="D1033" t="s">
        <v>210</v>
      </c>
      <c r="E1033">
        <v>2.74</v>
      </c>
    </row>
    <row r="1034" spans="1:5" hidden="1" x14ac:dyDescent="0.3">
      <c r="A1034" t="s">
        <v>371</v>
      </c>
      <c r="B1034" t="s">
        <v>372</v>
      </c>
      <c r="C1034" s="1">
        <v>35704</v>
      </c>
      <c r="D1034" t="s">
        <v>210</v>
      </c>
      <c r="E1034">
        <v>-12.49</v>
      </c>
    </row>
    <row r="1035" spans="1:5" hidden="1" x14ac:dyDescent="0.3">
      <c r="A1035" t="s">
        <v>5</v>
      </c>
      <c r="B1035" t="s">
        <v>6</v>
      </c>
      <c r="C1035" s="1">
        <v>35612</v>
      </c>
      <c r="D1035" t="s">
        <v>209</v>
      </c>
      <c r="E1035">
        <v>4.67</v>
      </c>
    </row>
    <row r="1036" spans="1:5" hidden="1" x14ac:dyDescent="0.3">
      <c r="A1036" t="s">
        <v>325</v>
      </c>
      <c r="B1036" t="s">
        <v>326</v>
      </c>
      <c r="C1036" s="1">
        <v>35612</v>
      </c>
      <c r="D1036" t="s">
        <v>209</v>
      </c>
      <c r="E1036">
        <v>2.31</v>
      </c>
    </row>
    <row r="1037" spans="1:5" hidden="1" x14ac:dyDescent="0.3">
      <c r="A1037" t="s">
        <v>327</v>
      </c>
      <c r="B1037" t="s">
        <v>328</v>
      </c>
      <c r="C1037" s="1">
        <v>35612</v>
      </c>
      <c r="D1037" t="s">
        <v>209</v>
      </c>
      <c r="E1037">
        <v>0.09</v>
      </c>
    </row>
    <row r="1038" spans="1:5" x14ac:dyDescent="0.3">
      <c r="A1038" t="s">
        <v>329</v>
      </c>
      <c r="B1038" t="s">
        <v>330</v>
      </c>
      <c r="C1038" s="1">
        <v>35612</v>
      </c>
      <c r="D1038" t="s">
        <v>209</v>
      </c>
      <c r="E1038">
        <v>4.26</v>
      </c>
    </row>
    <row r="1039" spans="1:5" hidden="1" x14ac:dyDescent="0.3">
      <c r="A1039" t="s">
        <v>331</v>
      </c>
      <c r="B1039" t="s">
        <v>332</v>
      </c>
      <c r="C1039" s="1">
        <v>35612</v>
      </c>
      <c r="D1039" t="s">
        <v>209</v>
      </c>
      <c r="E1039">
        <v>5.62</v>
      </c>
    </row>
    <row r="1040" spans="1:5" hidden="1" x14ac:dyDescent="0.3">
      <c r="A1040" t="s">
        <v>333</v>
      </c>
      <c r="B1040" t="s">
        <v>334</v>
      </c>
      <c r="C1040" s="1">
        <v>35612</v>
      </c>
      <c r="D1040" t="s">
        <v>209</v>
      </c>
      <c r="E1040">
        <v>-18.38</v>
      </c>
    </row>
    <row r="1041" spans="1:5" hidden="1" x14ac:dyDescent="0.3">
      <c r="A1041" t="s">
        <v>335</v>
      </c>
      <c r="B1041" t="s">
        <v>336</v>
      </c>
      <c r="C1041" s="1">
        <v>35612</v>
      </c>
      <c r="D1041" t="s">
        <v>209</v>
      </c>
      <c r="E1041">
        <v>11.52</v>
      </c>
    </row>
    <row r="1042" spans="1:5" hidden="1" x14ac:dyDescent="0.3">
      <c r="A1042" t="s">
        <v>337</v>
      </c>
      <c r="B1042" t="s">
        <v>338</v>
      </c>
      <c r="C1042" s="1">
        <v>35612</v>
      </c>
      <c r="D1042" t="s">
        <v>209</v>
      </c>
      <c r="E1042">
        <v>2.54</v>
      </c>
    </row>
    <row r="1043" spans="1:5" hidden="1" x14ac:dyDescent="0.3">
      <c r="A1043" t="s">
        <v>371</v>
      </c>
      <c r="B1043" t="s">
        <v>372</v>
      </c>
      <c r="C1043" s="1">
        <v>35612</v>
      </c>
      <c r="D1043" t="s">
        <v>209</v>
      </c>
      <c r="E1043">
        <v>-7.59</v>
      </c>
    </row>
    <row r="1044" spans="1:5" hidden="1" x14ac:dyDescent="0.3">
      <c r="A1044" t="s">
        <v>5</v>
      </c>
      <c r="B1044" t="s">
        <v>6</v>
      </c>
      <c r="C1044" s="1">
        <v>35521</v>
      </c>
      <c r="D1044" t="s">
        <v>208</v>
      </c>
      <c r="E1044">
        <v>4.3099999999999996</v>
      </c>
    </row>
    <row r="1045" spans="1:5" hidden="1" x14ac:dyDescent="0.3">
      <c r="A1045" t="s">
        <v>325</v>
      </c>
      <c r="B1045" t="s">
        <v>326</v>
      </c>
      <c r="C1045" s="1">
        <v>35521</v>
      </c>
      <c r="D1045" t="s">
        <v>208</v>
      </c>
      <c r="E1045">
        <v>2.5299999999999998</v>
      </c>
    </row>
    <row r="1046" spans="1:5" hidden="1" x14ac:dyDescent="0.3">
      <c r="A1046" t="s">
        <v>327</v>
      </c>
      <c r="B1046" t="s">
        <v>328</v>
      </c>
      <c r="C1046" s="1">
        <v>35521</v>
      </c>
      <c r="D1046" t="s">
        <v>208</v>
      </c>
      <c r="E1046">
        <v>0.38</v>
      </c>
    </row>
    <row r="1047" spans="1:5" x14ac:dyDescent="0.3">
      <c r="A1047" t="s">
        <v>329</v>
      </c>
      <c r="B1047" t="s">
        <v>330</v>
      </c>
      <c r="C1047" s="1">
        <v>35521</v>
      </c>
      <c r="D1047" t="s">
        <v>208</v>
      </c>
      <c r="E1047">
        <v>5.34</v>
      </c>
    </row>
    <row r="1048" spans="1:5" hidden="1" x14ac:dyDescent="0.3">
      <c r="A1048" t="s">
        <v>331</v>
      </c>
      <c r="B1048" t="s">
        <v>332</v>
      </c>
      <c r="C1048" s="1">
        <v>35521</v>
      </c>
      <c r="D1048" t="s">
        <v>208</v>
      </c>
      <c r="E1048">
        <v>4.13</v>
      </c>
    </row>
    <row r="1049" spans="1:5" hidden="1" x14ac:dyDescent="0.3">
      <c r="A1049" t="s">
        <v>333</v>
      </c>
      <c r="B1049" t="s">
        <v>334</v>
      </c>
      <c r="C1049" s="1">
        <v>35521</v>
      </c>
      <c r="D1049" t="s">
        <v>208</v>
      </c>
      <c r="E1049">
        <v>-7.18</v>
      </c>
    </row>
    <row r="1050" spans="1:5" hidden="1" x14ac:dyDescent="0.3">
      <c r="A1050" t="s">
        <v>335</v>
      </c>
      <c r="B1050" t="s">
        <v>336</v>
      </c>
      <c r="C1050" s="1">
        <v>35521</v>
      </c>
      <c r="D1050" t="s">
        <v>208</v>
      </c>
      <c r="E1050">
        <v>12.6</v>
      </c>
    </row>
    <row r="1051" spans="1:5" hidden="1" x14ac:dyDescent="0.3">
      <c r="A1051" t="s">
        <v>337</v>
      </c>
      <c r="B1051" t="s">
        <v>338</v>
      </c>
      <c r="C1051" s="1">
        <v>35521</v>
      </c>
      <c r="D1051" t="s">
        <v>208</v>
      </c>
      <c r="E1051">
        <v>2.58</v>
      </c>
    </row>
    <row r="1052" spans="1:5" hidden="1" x14ac:dyDescent="0.3">
      <c r="A1052" t="s">
        <v>371</v>
      </c>
      <c r="B1052" t="s">
        <v>372</v>
      </c>
      <c r="C1052" s="1">
        <v>35521</v>
      </c>
      <c r="D1052" t="s">
        <v>208</v>
      </c>
      <c r="E1052">
        <v>-9.09</v>
      </c>
    </row>
    <row r="1053" spans="1:5" hidden="1" x14ac:dyDescent="0.3">
      <c r="A1053" t="s">
        <v>5</v>
      </c>
      <c r="B1053" t="s">
        <v>6</v>
      </c>
      <c r="C1053" s="1">
        <v>35431</v>
      </c>
      <c r="D1053" t="s">
        <v>207</v>
      </c>
      <c r="E1053">
        <v>4.3099999999999996</v>
      </c>
    </row>
    <row r="1054" spans="1:5" hidden="1" x14ac:dyDescent="0.3">
      <c r="A1054" t="s">
        <v>325</v>
      </c>
      <c r="B1054" t="s">
        <v>326</v>
      </c>
      <c r="C1054" s="1">
        <v>35431</v>
      </c>
      <c r="D1054" t="s">
        <v>207</v>
      </c>
      <c r="E1054">
        <v>2.48</v>
      </c>
    </row>
    <row r="1055" spans="1:5" hidden="1" x14ac:dyDescent="0.3">
      <c r="A1055" t="s">
        <v>327</v>
      </c>
      <c r="B1055" t="s">
        <v>328</v>
      </c>
      <c r="C1055" s="1">
        <v>35431</v>
      </c>
      <c r="D1055" t="s">
        <v>207</v>
      </c>
      <c r="E1055">
        <v>0.66</v>
      </c>
    </row>
    <row r="1056" spans="1:5" x14ac:dyDescent="0.3">
      <c r="A1056" t="s">
        <v>329</v>
      </c>
      <c r="B1056" t="s">
        <v>330</v>
      </c>
      <c r="C1056" s="1">
        <v>35431</v>
      </c>
      <c r="D1056" t="s">
        <v>207</v>
      </c>
      <c r="E1056">
        <v>-1.6</v>
      </c>
    </row>
    <row r="1057" spans="1:5" hidden="1" x14ac:dyDescent="0.3">
      <c r="A1057" t="s">
        <v>331</v>
      </c>
      <c r="B1057" t="s">
        <v>332</v>
      </c>
      <c r="C1057" s="1">
        <v>35431</v>
      </c>
      <c r="D1057" t="s">
        <v>207</v>
      </c>
      <c r="E1057">
        <v>6.56</v>
      </c>
    </row>
    <row r="1058" spans="1:5" hidden="1" x14ac:dyDescent="0.3">
      <c r="A1058" t="s">
        <v>333</v>
      </c>
      <c r="B1058" t="s">
        <v>334</v>
      </c>
      <c r="C1058" s="1">
        <v>35431</v>
      </c>
      <c r="D1058" t="s">
        <v>207</v>
      </c>
      <c r="E1058">
        <v>25.01</v>
      </c>
    </row>
    <row r="1059" spans="1:5" hidden="1" x14ac:dyDescent="0.3">
      <c r="A1059" t="s">
        <v>335</v>
      </c>
      <c r="B1059" t="s">
        <v>336</v>
      </c>
      <c r="C1059" s="1">
        <v>35431</v>
      </c>
      <c r="D1059" t="s">
        <v>207</v>
      </c>
      <c r="E1059">
        <v>9.43</v>
      </c>
    </row>
    <row r="1060" spans="1:5" hidden="1" x14ac:dyDescent="0.3">
      <c r="A1060" t="s">
        <v>337</v>
      </c>
      <c r="B1060" t="s">
        <v>338</v>
      </c>
      <c r="C1060" s="1">
        <v>35431</v>
      </c>
      <c r="D1060" t="s">
        <v>207</v>
      </c>
      <c r="E1060">
        <v>2.52</v>
      </c>
    </row>
    <row r="1061" spans="1:5" hidden="1" x14ac:dyDescent="0.3">
      <c r="A1061" t="s">
        <v>371</v>
      </c>
      <c r="B1061" t="s">
        <v>372</v>
      </c>
      <c r="C1061" s="1">
        <v>35431</v>
      </c>
      <c r="D1061" t="s">
        <v>207</v>
      </c>
      <c r="E1061">
        <v>-5.42</v>
      </c>
    </row>
    <row r="1062" spans="1:5" hidden="1" x14ac:dyDescent="0.3">
      <c r="A1062" t="s">
        <v>5</v>
      </c>
      <c r="B1062" t="s">
        <v>6</v>
      </c>
      <c r="C1062" s="1">
        <v>35339</v>
      </c>
      <c r="D1062" t="s">
        <v>206</v>
      </c>
      <c r="E1062">
        <v>4.42</v>
      </c>
    </row>
    <row r="1063" spans="1:5" hidden="1" x14ac:dyDescent="0.3">
      <c r="A1063" t="s">
        <v>325</v>
      </c>
      <c r="B1063" t="s">
        <v>326</v>
      </c>
      <c r="C1063" s="1">
        <v>35339</v>
      </c>
      <c r="D1063" t="s">
        <v>206</v>
      </c>
      <c r="E1063">
        <v>2.58</v>
      </c>
    </row>
    <row r="1064" spans="1:5" hidden="1" x14ac:dyDescent="0.3">
      <c r="A1064" t="s">
        <v>327</v>
      </c>
      <c r="B1064" t="s">
        <v>328</v>
      </c>
      <c r="C1064" s="1">
        <v>35339</v>
      </c>
      <c r="D1064" t="s">
        <v>206</v>
      </c>
      <c r="E1064">
        <v>0.68</v>
      </c>
    </row>
    <row r="1065" spans="1:5" x14ac:dyDescent="0.3">
      <c r="A1065" t="s">
        <v>329</v>
      </c>
      <c r="B1065" t="s">
        <v>330</v>
      </c>
      <c r="C1065" s="1">
        <v>35339</v>
      </c>
      <c r="D1065" t="s">
        <v>206</v>
      </c>
      <c r="E1065">
        <v>-7.69</v>
      </c>
    </row>
    <row r="1066" spans="1:5" hidden="1" x14ac:dyDescent="0.3">
      <c r="A1066" t="s">
        <v>331</v>
      </c>
      <c r="B1066" t="s">
        <v>332</v>
      </c>
      <c r="C1066" s="1">
        <v>35339</v>
      </c>
      <c r="D1066" t="s">
        <v>206</v>
      </c>
      <c r="E1066">
        <v>6.28</v>
      </c>
    </row>
    <row r="1067" spans="1:5" hidden="1" x14ac:dyDescent="0.3">
      <c r="A1067" t="s">
        <v>333</v>
      </c>
      <c r="B1067" t="s">
        <v>334</v>
      </c>
      <c r="C1067" s="1">
        <v>35339</v>
      </c>
      <c r="D1067" t="s">
        <v>206</v>
      </c>
      <c r="E1067">
        <v>28.99</v>
      </c>
    </row>
    <row r="1068" spans="1:5" hidden="1" x14ac:dyDescent="0.3">
      <c r="A1068" t="s">
        <v>335</v>
      </c>
      <c r="B1068" t="s">
        <v>336</v>
      </c>
      <c r="C1068" s="1">
        <v>35339</v>
      </c>
      <c r="D1068" t="s">
        <v>206</v>
      </c>
      <c r="E1068">
        <v>8.61</v>
      </c>
    </row>
    <row r="1069" spans="1:5" hidden="1" x14ac:dyDescent="0.3">
      <c r="A1069" t="s">
        <v>337</v>
      </c>
      <c r="B1069" t="s">
        <v>338</v>
      </c>
      <c r="C1069" s="1">
        <v>35339</v>
      </c>
      <c r="D1069" t="s">
        <v>206</v>
      </c>
      <c r="E1069">
        <v>2.3199999999999998</v>
      </c>
    </row>
    <row r="1070" spans="1:5" hidden="1" x14ac:dyDescent="0.3">
      <c r="A1070" t="s">
        <v>371</v>
      </c>
      <c r="B1070" t="s">
        <v>372</v>
      </c>
      <c r="C1070" s="1">
        <v>35339</v>
      </c>
      <c r="D1070" t="s">
        <v>206</v>
      </c>
      <c r="E1070">
        <v>-4.2</v>
      </c>
    </row>
    <row r="1071" spans="1:5" hidden="1" x14ac:dyDescent="0.3">
      <c r="A1071" t="s">
        <v>5</v>
      </c>
      <c r="B1071" t="s">
        <v>6</v>
      </c>
      <c r="C1071" s="1">
        <v>35247</v>
      </c>
      <c r="D1071" t="s">
        <v>205</v>
      </c>
      <c r="E1071">
        <v>4.05</v>
      </c>
    </row>
    <row r="1072" spans="1:5" hidden="1" x14ac:dyDescent="0.3">
      <c r="A1072" t="s">
        <v>325</v>
      </c>
      <c r="B1072" t="s">
        <v>326</v>
      </c>
      <c r="C1072" s="1">
        <v>35247</v>
      </c>
      <c r="D1072" t="s">
        <v>205</v>
      </c>
      <c r="E1072">
        <v>2.64</v>
      </c>
    </row>
    <row r="1073" spans="1:5" hidden="1" x14ac:dyDescent="0.3">
      <c r="A1073" t="s">
        <v>327</v>
      </c>
      <c r="B1073" t="s">
        <v>328</v>
      </c>
      <c r="C1073" s="1">
        <v>35247</v>
      </c>
      <c r="D1073" t="s">
        <v>205</v>
      </c>
      <c r="E1073">
        <v>1.45</v>
      </c>
    </row>
    <row r="1074" spans="1:5" x14ac:dyDescent="0.3">
      <c r="A1074" t="s">
        <v>329</v>
      </c>
      <c r="B1074" t="s">
        <v>330</v>
      </c>
      <c r="C1074" s="1">
        <v>35247</v>
      </c>
      <c r="D1074" t="s">
        <v>205</v>
      </c>
      <c r="E1074">
        <v>-8.4499999999999993</v>
      </c>
    </row>
    <row r="1075" spans="1:5" hidden="1" x14ac:dyDescent="0.3">
      <c r="A1075" t="s">
        <v>331</v>
      </c>
      <c r="B1075" t="s">
        <v>332</v>
      </c>
      <c r="C1075" s="1">
        <v>35247</v>
      </c>
      <c r="D1075" t="s">
        <v>205</v>
      </c>
      <c r="E1075">
        <v>5.55</v>
      </c>
    </row>
    <row r="1076" spans="1:5" hidden="1" x14ac:dyDescent="0.3">
      <c r="A1076" t="s">
        <v>333</v>
      </c>
      <c r="B1076" t="s">
        <v>334</v>
      </c>
      <c r="C1076" s="1">
        <v>35247</v>
      </c>
      <c r="D1076" t="s">
        <v>205</v>
      </c>
      <c r="E1076">
        <v>51.03</v>
      </c>
    </row>
    <row r="1077" spans="1:5" hidden="1" x14ac:dyDescent="0.3">
      <c r="A1077" t="s">
        <v>335</v>
      </c>
      <c r="B1077" t="s">
        <v>336</v>
      </c>
      <c r="C1077" s="1">
        <v>35247</v>
      </c>
      <c r="D1077" t="s">
        <v>205</v>
      </c>
      <c r="E1077">
        <v>1.86</v>
      </c>
    </row>
    <row r="1078" spans="1:5" hidden="1" x14ac:dyDescent="0.3">
      <c r="A1078" t="s">
        <v>337</v>
      </c>
      <c r="B1078" t="s">
        <v>338</v>
      </c>
      <c r="C1078" s="1">
        <v>35247</v>
      </c>
      <c r="D1078" t="s">
        <v>205</v>
      </c>
      <c r="E1078">
        <v>2.19</v>
      </c>
    </row>
    <row r="1079" spans="1:5" hidden="1" x14ac:dyDescent="0.3">
      <c r="A1079" t="s">
        <v>371</v>
      </c>
      <c r="B1079" t="s">
        <v>372</v>
      </c>
      <c r="C1079" s="1">
        <v>35247</v>
      </c>
      <c r="D1079" t="s">
        <v>205</v>
      </c>
      <c r="E1079">
        <v>-7.06</v>
      </c>
    </row>
    <row r="1080" spans="1:5" hidden="1" x14ac:dyDescent="0.3">
      <c r="A1080" t="s">
        <v>5</v>
      </c>
      <c r="B1080" t="s">
        <v>6</v>
      </c>
      <c r="C1080" s="1">
        <v>35156</v>
      </c>
      <c r="D1080" t="s">
        <v>204</v>
      </c>
      <c r="E1080">
        <v>4</v>
      </c>
    </row>
    <row r="1081" spans="1:5" hidden="1" x14ac:dyDescent="0.3">
      <c r="A1081" t="s">
        <v>325</v>
      </c>
      <c r="B1081" t="s">
        <v>326</v>
      </c>
      <c r="C1081" s="1">
        <v>35156</v>
      </c>
      <c r="D1081" t="s">
        <v>204</v>
      </c>
      <c r="E1081">
        <v>2.65</v>
      </c>
    </row>
    <row r="1082" spans="1:5" hidden="1" x14ac:dyDescent="0.3">
      <c r="A1082" t="s">
        <v>327</v>
      </c>
      <c r="B1082" t="s">
        <v>328</v>
      </c>
      <c r="C1082" s="1">
        <v>35156</v>
      </c>
      <c r="D1082" t="s">
        <v>204</v>
      </c>
      <c r="E1082">
        <v>1.67</v>
      </c>
    </row>
    <row r="1083" spans="1:5" x14ac:dyDescent="0.3">
      <c r="A1083" t="s">
        <v>329</v>
      </c>
      <c r="B1083" t="s">
        <v>330</v>
      </c>
      <c r="C1083" s="1">
        <v>35156</v>
      </c>
      <c r="D1083" t="s">
        <v>204</v>
      </c>
      <c r="E1083">
        <v>-12.91</v>
      </c>
    </row>
    <row r="1084" spans="1:5" hidden="1" x14ac:dyDescent="0.3">
      <c r="A1084" t="s">
        <v>331</v>
      </c>
      <c r="B1084" t="s">
        <v>332</v>
      </c>
      <c r="C1084" s="1">
        <v>35156</v>
      </c>
      <c r="D1084" t="s">
        <v>204</v>
      </c>
      <c r="E1084">
        <v>6.09</v>
      </c>
    </row>
    <row r="1085" spans="1:5" hidden="1" x14ac:dyDescent="0.3">
      <c r="A1085" t="s">
        <v>333</v>
      </c>
      <c r="B1085" t="s">
        <v>334</v>
      </c>
      <c r="C1085" s="1">
        <v>35156</v>
      </c>
      <c r="D1085" t="s">
        <v>204</v>
      </c>
      <c r="E1085">
        <v>-13.16</v>
      </c>
    </row>
    <row r="1086" spans="1:5" hidden="1" x14ac:dyDescent="0.3">
      <c r="A1086" t="s">
        <v>335</v>
      </c>
      <c r="B1086" t="s">
        <v>336</v>
      </c>
      <c r="C1086" s="1">
        <v>35156</v>
      </c>
      <c r="D1086" t="s">
        <v>204</v>
      </c>
      <c r="E1086">
        <v>-0.18</v>
      </c>
    </row>
    <row r="1087" spans="1:5" hidden="1" x14ac:dyDescent="0.3">
      <c r="A1087" t="s">
        <v>337</v>
      </c>
      <c r="B1087" t="s">
        <v>338</v>
      </c>
      <c r="C1087" s="1">
        <v>35156</v>
      </c>
      <c r="D1087" t="s">
        <v>204</v>
      </c>
      <c r="E1087">
        <v>2</v>
      </c>
    </row>
    <row r="1088" spans="1:5" hidden="1" x14ac:dyDescent="0.3">
      <c r="A1088" t="s">
        <v>371</v>
      </c>
      <c r="B1088" t="s">
        <v>372</v>
      </c>
      <c r="C1088" s="1">
        <v>35156</v>
      </c>
      <c r="D1088" t="s">
        <v>204</v>
      </c>
      <c r="E1088">
        <v>-2.95</v>
      </c>
    </row>
    <row r="1089" spans="1:5" hidden="1" x14ac:dyDescent="0.3">
      <c r="A1089" t="s">
        <v>5</v>
      </c>
      <c r="B1089" t="s">
        <v>6</v>
      </c>
      <c r="C1089" s="1">
        <v>35065</v>
      </c>
      <c r="D1089" t="s">
        <v>203</v>
      </c>
      <c r="E1089">
        <v>2.6</v>
      </c>
    </row>
    <row r="1090" spans="1:5" hidden="1" x14ac:dyDescent="0.3">
      <c r="A1090" t="s">
        <v>325</v>
      </c>
      <c r="B1090" t="s">
        <v>326</v>
      </c>
      <c r="C1090" s="1">
        <v>35065</v>
      </c>
      <c r="D1090" t="s">
        <v>203</v>
      </c>
      <c r="E1090">
        <v>2.89</v>
      </c>
    </row>
    <row r="1091" spans="1:5" hidden="1" x14ac:dyDescent="0.3">
      <c r="A1091" t="s">
        <v>327</v>
      </c>
      <c r="B1091" t="s">
        <v>328</v>
      </c>
      <c r="C1091" s="1">
        <v>35065</v>
      </c>
      <c r="D1091" t="s">
        <v>203</v>
      </c>
      <c r="E1091">
        <v>2.0699999999999998</v>
      </c>
    </row>
    <row r="1092" spans="1:5" x14ac:dyDescent="0.3">
      <c r="A1092" t="s">
        <v>329</v>
      </c>
      <c r="B1092" t="s">
        <v>330</v>
      </c>
      <c r="C1092" s="1">
        <v>35065</v>
      </c>
      <c r="D1092" t="s">
        <v>203</v>
      </c>
      <c r="E1092">
        <v>-7.69</v>
      </c>
    </row>
    <row r="1093" spans="1:5" hidden="1" x14ac:dyDescent="0.3">
      <c r="A1093" t="s">
        <v>331</v>
      </c>
      <c r="B1093" t="s">
        <v>332</v>
      </c>
      <c r="C1093" s="1">
        <v>35065</v>
      </c>
      <c r="D1093" t="s">
        <v>203</v>
      </c>
      <c r="E1093">
        <v>5.85</v>
      </c>
    </row>
    <row r="1094" spans="1:5" hidden="1" x14ac:dyDescent="0.3">
      <c r="A1094" t="s">
        <v>333</v>
      </c>
      <c r="B1094" t="s">
        <v>334</v>
      </c>
      <c r="C1094" s="1">
        <v>35065</v>
      </c>
      <c r="D1094" t="s">
        <v>203</v>
      </c>
      <c r="E1094">
        <v>-15.47</v>
      </c>
    </row>
    <row r="1095" spans="1:5" hidden="1" x14ac:dyDescent="0.3">
      <c r="A1095" t="s">
        <v>335</v>
      </c>
      <c r="B1095" t="s">
        <v>336</v>
      </c>
      <c r="C1095" s="1">
        <v>35065</v>
      </c>
      <c r="D1095" t="s">
        <v>203</v>
      </c>
      <c r="E1095">
        <v>-4.0599999999999996</v>
      </c>
    </row>
    <row r="1096" spans="1:5" hidden="1" x14ac:dyDescent="0.3">
      <c r="A1096" t="s">
        <v>337</v>
      </c>
      <c r="B1096" t="s">
        <v>338</v>
      </c>
      <c r="C1096" s="1">
        <v>35065</v>
      </c>
      <c r="D1096" t="s">
        <v>203</v>
      </c>
      <c r="E1096">
        <v>1.7</v>
      </c>
    </row>
    <row r="1097" spans="1:5" hidden="1" x14ac:dyDescent="0.3">
      <c r="A1097" t="s">
        <v>371</v>
      </c>
      <c r="B1097" t="s">
        <v>372</v>
      </c>
      <c r="C1097" s="1">
        <v>35065</v>
      </c>
      <c r="D1097" t="s">
        <v>203</v>
      </c>
      <c r="E1097">
        <v>1.21</v>
      </c>
    </row>
    <row r="1098" spans="1:5" hidden="1" x14ac:dyDescent="0.3">
      <c r="A1098" t="s">
        <v>5</v>
      </c>
      <c r="B1098" t="s">
        <v>6</v>
      </c>
      <c r="C1098" s="1">
        <v>34973</v>
      </c>
      <c r="D1098" t="s">
        <v>202</v>
      </c>
      <c r="E1098">
        <v>2.2000000000000002</v>
      </c>
    </row>
    <row r="1099" spans="1:5" hidden="1" x14ac:dyDescent="0.3">
      <c r="A1099" t="s">
        <v>325</v>
      </c>
      <c r="B1099" t="s">
        <v>326</v>
      </c>
      <c r="C1099" s="1">
        <v>34973</v>
      </c>
      <c r="D1099" t="s">
        <v>202</v>
      </c>
      <c r="E1099">
        <v>3.06</v>
      </c>
    </row>
    <row r="1100" spans="1:5" hidden="1" x14ac:dyDescent="0.3">
      <c r="A1100" t="s">
        <v>327</v>
      </c>
      <c r="B1100" t="s">
        <v>328</v>
      </c>
      <c r="C1100" s="1">
        <v>34973</v>
      </c>
      <c r="D1100" t="s">
        <v>202</v>
      </c>
      <c r="E1100">
        <v>2.64</v>
      </c>
    </row>
    <row r="1101" spans="1:5" x14ac:dyDescent="0.3">
      <c r="A1101" t="s">
        <v>329</v>
      </c>
      <c r="B1101" t="s">
        <v>330</v>
      </c>
      <c r="C1101" s="1">
        <v>34973</v>
      </c>
      <c r="D1101" t="s">
        <v>202</v>
      </c>
      <c r="E1101">
        <v>10.7</v>
      </c>
    </row>
    <row r="1102" spans="1:5" hidden="1" x14ac:dyDescent="0.3">
      <c r="A1102" t="s">
        <v>331</v>
      </c>
      <c r="B1102" t="s">
        <v>332</v>
      </c>
      <c r="C1102" s="1">
        <v>34973</v>
      </c>
      <c r="D1102" t="s">
        <v>202</v>
      </c>
      <c r="E1102">
        <v>4.2699999999999996</v>
      </c>
    </row>
    <row r="1103" spans="1:5" hidden="1" x14ac:dyDescent="0.3">
      <c r="A1103" t="s">
        <v>333</v>
      </c>
      <c r="B1103" t="s">
        <v>334</v>
      </c>
      <c r="C1103" s="1">
        <v>34973</v>
      </c>
      <c r="D1103" t="s">
        <v>202</v>
      </c>
      <c r="E1103">
        <v>-30.59</v>
      </c>
    </row>
    <row r="1104" spans="1:5" hidden="1" x14ac:dyDescent="0.3">
      <c r="A1104" t="s">
        <v>335</v>
      </c>
      <c r="B1104" t="s">
        <v>336</v>
      </c>
      <c r="C1104" s="1">
        <v>34973</v>
      </c>
      <c r="D1104" t="s">
        <v>202</v>
      </c>
      <c r="E1104">
        <v>-3.58</v>
      </c>
    </row>
    <row r="1105" spans="1:5" hidden="1" x14ac:dyDescent="0.3">
      <c r="A1105" t="s">
        <v>337</v>
      </c>
      <c r="B1105" t="s">
        <v>338</v>
      </c>
      <c r="C1105" s="1">
        <v>34973</v>
      </c>
      <c r="D1105" t="s">
        <v>202</v>
      </c>
      <c r="E1105">
        <v>2.02</v>
      </c>
    </row>
    <row r="1106" spans="1:5" hidden="1" x14ac:dyDescent="0.3">
      <c r="A1106" t="s">
        <v>371</v>
      </c>
      <c r="B1106" t="s">
        <v>372</v>
      </c>
      <c r="C1106" s="1">
        <v>34973</v>
      </c>
      <c r="D1106" t="s">
        <v>202</v>
      </c>
      <c r="E1106">
        <v>-1.17</v>
      </c>
    </row>
    <row r="1107" spans="1:5" hidden="1" x14ac:dyDescent="0.3">
      <c r="A1107" t="s">
        <v>5</v>
      </c>
      <c r="B1107" t="s">
        <v>6</v>
      </c>
      <c r="C1107" s="1">
        <v>34881</v>
      </c>
      <c r="D1107" t="s">
        <v>201</v>
      </c>
      <c r="E1107">
        <v>2.67</v>
      </c>
    </row>
    <row r="1108" spans="1:5" hidden="1" x14ac:dyDescent="0.3">
      <c r="A1108" t="s">
        <v>325</v>
      </c>
      <c r="B1108" t="s">
        <v>326</v>
      </c>
      <c r="C1108" s="1">
        <v>34881</v>
      </c>
      <c r="D1108" t="s">
        <v>201</v>
      </c>
      <c r="E1108">
        <v>2.99</v>
      </c>
    </row>
    <row r="1109" spans="1:5" hidden="1" x14ac:dyDescent="0.3">
      <c r="A1109" t="s">
        <v>327</v>
      </c>
      <c r="B1109" t="s">
        <v>328</v>
      </c>
      <c r="C1109" s="1">
        <v>34881</v>
      </c>
      <c r="D1109" t="s">
        <v>201</v>
      </c>
      <c r="E1109">
        <v>1.94</v>
      </c>
    </row>
    <row r="1110" spans="1:5" x14ac:dyDescent="0.3">
      <c r="A1110" t="s">
        <v>329</v>
      </c>
      <c r="B1110" t="s">
        <v>330</v>
      </c>
      <c r="C1110" s="1">
        <v>34881</v>
      </c>
      <c r="D1110" t="s">
        <v>201</v>
      </c>
      <c r="E1110">
        <v>29.2</v>
      </c>
    </row>
    <row r="1111" spans="1:5" hidden="1" x14ac:dyDescent="0.3">
      <c r="A1111" t="s">
        <v>331</v>
      </c>
      <c r="B1111" t="s">
        <v>332</v>
      </c>
      <c r="C1111" s="1">
        <v>34881</v>
      </c>
      <c r="D1111" t="s">
        <v>201</v>
      </c>
      <c r="E1111">
        <v>5.27</v>
      </c>
    </row>
    <row r="1112" spans="1:5" hidden="1" x14ac:dyDescent="0.3">
      <c r="A1112" t="s">
        <v>333</v>
      </c>
      <c r="B1112" t="s">
        <v>334</v>
      </c>
      <c r="C1112" s="1">
        <v>34881</v>
      </c>
      <c r="D1112" t="s">
        <v>201</v>
      </c>
      <c r="E1112">
        <v>-19.86</v>
      </c>
    </row>
    <row r="1113" spans="1:5" hidden="1" x14ac:dyDescent="0.3">
      <c r="A1113" t="s">
        <v>335</v>
      </c>
      <c r="B1113" t="s">
        <v>336</v>
      </c>
      <c r="C1113" s="1">
        <v>34881</v>
      </c>
      <c r="D1113" t="s">
        <v>201</v>
      </c>
      <c r="E1113">
        <v>2.68</v>
      </c>
    </row>
    <row r="1114" spans="1:5" hidden="1" x14ac:dyDescent="0.3">
      <c r="A1114" t="s">
        <v>337</v>
      </c>
      <c r="B1114" t="s">
        <v>338</v>
      </c>
      <c r="C1114" s="1">
        <v>34881</v>
      </c>
      <c r="D1114" t="s">
        <v>201</v>
      </c>
      <c r="E1114">
        <v>2.36</v>
      </c>
    </row>
    <row r="1115" spans="1:5" hidden="1" x14ac:dyDescent="0.3">
      <c r="A1115" t="s">
        <v>371</v>
      </c>
      <c r="B1115" t="s">
        <v>372</v>
      </c>
      <c r="C1115" s="1">
        <v>34881</v>
      </c>
      <c r="D1115" t="s">
        <v>201</v>
      </c>
      <c r="E1115">
        <v>-5.55</v>
      </c>
    </row>
    <row r="1116" spans="1:5" hidden="1" x14ac:dyDescent="0.3">
      <c r="A1116" t="s">
        <v>5</v>
      </c>
      <c r="B1116" t="s">
        <v>6</v>
      </c>
      <c r="C1116" s="1">
        <v>34790</v>
      </c>
      <c r="D1116" t="s">
        <v>200</v>
      </c>
      <c r="E1116">
        <v>2.4</v>
      </c>
    </row>
    <row r="1117" spans="1:5" hidden="1" x14ac:dyDescent="0.3">
      <c r="A1117" t="s">
        <v>325</v>
      </c>
      <c r="B1117" t="s">
        <v>326</v>
      </c>
      <c r="C1117" s="1">
        <v>34790</v>
      </c>
      <c r="D1117" t="s">
        <v>200</v>
      </c>
      <c r="E1117">
        <v>3.08</v>
      </c>
    </row>
    <row r="1118" spans="1:5" hidden="1" x14ac:dyDescent="0.3">
      <c r="A1118" t="s">
        <v>327</v>
      </c>
      <c r="B1118" t="s">
        <v>328</v>
      </c>
      <c r="C1118" s="1">
        <v>34790</v>
      </c>
      <c r="D1118" t="s">
        <v>200</v>
      </c>
      <c r="E1118">
        <v>1.95</v>
      </c>
    </row>
    <row r="1119" spans="1:5" x14ac:dyDescent="0.3">
      <c r="A1119" t="s">
        <v>329</v>
      </c>
      <c r="B1119" t="s">
        <v>330</v>
      </c>
      <c r="C1119" s="1">
        <v>34790</v>
      </c>
      <c r="D1119" t="s">
        <v>200</v>
      </c>
      <c r="E1119">
        <v>52.79</v>
      </c>
    </row>
    <row r="1120" spans="1:5" hidden="1" x14ac:dyDescent="0.3">
      <c r="A1120" t="s">
        <v>331</v>
      </c>
      <c r="B1120" t="s">
        <v>332</v>
      </c>
      <c r="C1120" s="1">
        <v>34790</v>
      </c>
      <c r="D1120" t="s">
        <v>200</v>
      </c>
      <c r="E1120">
        <v>6.06</v>
      </c>
    </row>
    <row r="1121" spans="1:5" hidden="1" x14ac:dyDescent="0.3">
      <c r="A1121" t="s">
        <v>333</v>
      </c>
      <c r="B1121" t="s">
        <v>334</v>
      </c>
      <c r="C1121" s="1">
        <v>34790</v>
      </c>
      <c r="D1121" t="s">
        <v>200</v>
      </c>
      <c r="E1121">
        <v>22.2</v>
      </c>
    </row>
    <row r="1122" spans="1:5" hidden="1" x14ac:dyDescent="0.3">
      <c r="A1122" t="s">
        <v>335</v>
      </c>
      <c r="B1122" t="s">
        <v>336</v>
      </c>
      <c r="C1122" s="1">
        <v>34790</v>
      </c>
      <c r="D1122" t="s">
        <v>200</v>
      </c>
      <c r="E1122">
        <v>-0.57999999999999996</v>
      </c>
    </row>
    <row r="1123" spans="1:5" hidden="1" x14ac:dyDescent="0.3">
      <c r="A1123" t="s">
        <v>337</v>
      </c>
      <c r="B1123" t="s">
        <v>338</v>
      </c>
      <c r="C1123" s="1">
        <v>34790</v>
      </c>
      <c r="D1123" t="s">
        <v>200</v>
      </c>
      <c r="E1123">
        <v>2.82</v>
      </c>
    </row>
    <row r="1124" spans="1:5" hidden="1" x14ac:dyDescent="0.3">
      <c r="A1124" t="s">
        <v>371</v>
      </c>
      <c r="B1124" t="s">
        <v>372</v>
      </c>
      <c r="C1124" s="1">
        <v>34790</v>
      </c>
      <c r="D1124" t="s">
        <v>200</v>
      </c>
      <c r="E1124">
        <v>-8.6</v>
      </c>
    </row>
    <row r="1125" spans="1:5" hidden="1" x14ac:dyDescent="0.3">
      <c r="A1125" t="s">
        <v>5</v>
      </c>
      <c r="B1125" t="s">
        <v>6</v>
      </c>
      <c r="C1125" s="1">
        <v>34700</v>
      </c>
      <c r="D1125" t="s">
        <v>199</v>
      </c>
      <c r="E1125">
        <v>3.48</v>
      </c>
    </row>
    <row r="1126" spans="1:5" hidden="1" x14ac:dyDescent="0.3">
      <c r="A1126" t="s">
        <v>325</v>
      </c>
      <c r="B1126" t="s">
        <v>326</v>
      </c>
      <c r="C1126" s="1">
        <v>34700</v>
      </c>
      <c r="D1126" t="s">
        <v>199</v>
      </c>
      <c r="E1126">
        <v>2.95</v>
      </c>
    </row>
    <row r="1127" spans="1:5" hidden="1" x14ac:dyDescent="0.3">
      <c r="A1127" t="s">
        <v>327</v>
      </c>
      <c r="B1127" t="s">
        <v>328</v>
      </c>
      <c r="C1127" s="1">
        <v>34700</v>
      </c>
      <c r="D1127" t="s">
        <v>199</v>
      </c>
      <c r="E1127">
        <v>1.74</v>
      </c>
    </row>
    <row r="1128" spans="1:5" x14ac:dyDescent="0.3">
      <c r="A1128" t="s">
        <v>329</v>
      </c>
      <c r="B1128" t="s">
        <v>330</v>
      </c>
      <c r="C1128" s="1">
        <v>34700</v>
      </c>
      <c r="D1128" t="s">
        <v>199</v>
      </c>
      <c r="E1128">
        <v>80.83</v>
      </c>
    </row>
    <row r="1129" spans="1:5" hidden="1" x14ac:dyDescent="0.3">
      <c r="A1129" t="s">
        <v>331</v>
      </c>
      <c r="B1129" t="s">
        <v>332</v>
      </c>
      <c r="C1129" s="1">
        <v>34700</v>
      </c>
      <c r="D1129" t="s">
        <v>199</v>
      </c>
      <c r="E1129">
        <v>6.32</v>
      </c>
    </row>
    <row r="1130" spans="1:5" hidden="1" x14ac:dyDescent="0.3">
      <c r="A1130" t="s">
        <v>333</v>
      </c>
      <c r="B1130" t="s">
        <v>334</v>
      </c>
      <c r="C1130" s="1">
        <v>34700</v>
      </c>
      <c r="D1130" t="s">
        <v>199</v>
      </c>
      <c r="E1130">
        <v>27.06</v>
      </c>
    </row>
    <row r="1131" spans="1:5" hidden="1" x14ac:dyDescent="0.3">
      <c r="A1131" t="s">
        <v>335</v>
      </c>
      <c r="B1131" t="s">
        <v>336</v>
      </c>
      <c r="C1131" s="1">
        <v>34700</v>
      </c>
      <c r="D1131" t="s">
        <v>199</v>
      </c>
      <c r="E1131">
        <v>1.43</v>
      </c>
    </row>
    <row r="1132" spans="1:5" hidden="1" x14ac:dyDescent="0.3">
      <c r="A1132" t="s">
        <v>337</v>
      </c>
      <c r="B1132" t="s">
        <v>338</v>
      </c>
      <c r="C1132" s="1">
        <v>34700</v>
      </c>
      <c r="D1132" t="s">
        <v>199</v>
      </c>
      <c r="E1132">
        <v>3.39</v>
      </c>
    </row>
    <row r="1133" spans="1:5" hidden="1" x14ac:dyDescent="0.3">
      <c r="A1133" t="s">
        <v>371</v>
      </c>
      <c r="B1133" t="s">
        <v>372</v>
      </c>
      <c r="C1133" s="1">
        <v>34700</v>
      </c>
      <c r="D1133" t="s">
        <v>199</v>
      </c>
      <c r="E1133">
        <v>-16.75</v>
      </c>
    </row>
    <row r="1134" spans="1:5" hidden="1" x14ac:dyDescent="0.3">
      <c r="A1134" t="s">
        <v>5</v>
      </c>
      <c r="B1134" t="s">
        <v>6</v>
      </c>
      <c r="C1134" s="1">
        <v>34608</v>
      </c>
      <c r="D1134" t="s">
        <v>198</v>
      </c>
      <c r="E1134">
        <v>4.12</v>
      </c>
    </row>
    <row r="1135" spans="1:5" hidden="1" x14ac:dyDescent="0.3">
      <c r="A1135" t="s">
        <v>325</v>
      </c>
      <c r="B1135" t="s">
        <v>326</v>
      </c>
      <c r="C1135" s="1">
        <v>34608</v>
      </c>
      <c r="D1135" t="s">
        <v>198</v>
      </c>
      <c r="E1135">
        <v>2.75</v>
      </c>
    </row>
    <row r="1136" spans="1:5" hidden="1" x14ac:dyDescent="0.3">
      <c r="A1136" t="s">
        <v>327</v>
      </c>
      <c r="B1136" t="s">
        <v>328</v>
      </c>
      <c r="C1136" s="1">
        <v>34608</v>
      </c>
      <c r="D1136" t="s">
        <v>198</v>
      </c>
      <c r="E1136">
        <v>1.7</v>
      </c>
    </row>
    <row r="1137" spans="1:5" x14ac:dyDescent="0.3">
      <c r="A1137" t="s">
        <v>329</v>
      </c>
      <c r="B1137" t="s">
        <v>330</v>
      </c>
      <c r="C1137" s="1">
        <v>34608</v>
      </c>
      <c r="D1137" t="s">
        <v>198</v>
      </c>
      <c r="E1137">
        <v>72.81</v>
      </c>
    </row>
    <row r="1138" spans="1:5" hidden="1" x14ac:dyDescent="0.3">
      <c r="A1138" t="s">
        <v>331</v>
      </c>
      <c r="B1138" t="s">
        <v>332</v>
      </c>
      <c r="C1138" s="1">
        <v>34608</v>
      </c>
      <c r="D1138" t="s">
        <v>198</v>
      </c>
      <c r="E1138">
        <v>8.33</v>
      </c>
    </row>
    <row r="1139" spans="1:5" hidden="1" x14ac:dyDescent="0.3">
      <c r="A1139" t="s">
        <v>333</v>
      </c>
      <c r="B1139" t="s">
        <v>334</v>
      </c>
      <c r="C1139" s="1">
        <v>34608</v>
      </c>
      <c r="D1139" t="s">
        <v>198</v>
      </c>
      <c r="E1139">
        <v>40.869999999999997</v>
      </c>
    </row>
    <row r="1140" spans="1:5" hidden="1" x14ac:dyDescent="0.3">
      <c r="A1140" t="s">
        <v>335</v>
      </c>
      <c r="B1140" t="s">
        <v>336</v>
      </c>
      <c r="C1140" s="1">
        <v>34608</v>
      </c>
      <c r="D1140" t="s">
        <v>198</v>
      </c>
      <c r="E1140">
        <v>10.83</v>
      </c>
    </row>
    <row r="1141" spans="1:5" hidden="1" x14ac:dyDescent="0.3">
      <c r="A1141" t="s">
        <v>337</v>
      </c>
      <c r="B1141" t="s">
        <v>338</v>
      </c>
      <c r="C1141" s="1">
        <v>34608</v>
      </c>
      <c r="D1141" t="s">
        <v>198</v>
      </c>
      <c r="E1141">
        <v>3.41</v>
      </c>
    </row>
    <row r="1142" spans="1:5" hidden="1" x14ac:dyDescent="0.3">
      <c r="A1142" t="s">
        <v>371</v>
      </c>
      <c r="B1142" t="s">
        <v>372</v>
      </c>
      <c r="C1142" s="1">
        <v>34608</v>
      </c>
      <c r="D1142" t="s">
        <v>198</v>
      </c>
      <c r="E1142">
        <v>-15.08</v>
      </c>
    </row>
    <row r="1143" spans="1:5" hidden="1" x14ac:dyDescent="0.3">
      <c r="A1143" t="s">
        <v>5</v>
      </c>
      <c r="B1143" t="s">
        <v>6</v>
      </c>
      <c r="C1143" s="1">
        <v>34516</v>
      </c>
      <c r="D1143" t="s">
        <v>197</v>
      </c>
      <c r="E1143">
        <v>4.34</v>
      </c>
    </row>
    <row r="1144" spans="1:5" hidden="1" x14ac:dyDescent="0.3">
      <c r="A1144" t="s">
        <v>325</v>
      </c>
      <c r="B1144" t="s">
        <v>326</v>
      </c>
      <c r="C1144" s="1">
        <v>34516</v>
      </c>
      <c r="D1144" t="s">
        <v>197</v>
      </c>
      <c r="E1144">
        <v>2.9</v>
      </c>
    </row>
    <row r="1145" spans="1:5" hidden="1" x14ac:dyDescent="0.3">
      <c r="A1145" t="s">
        <v>327</v>
      </c>
      <c r="B1145" t="s">
        <v>328</v>
      </c>
      <c r="C1145" s="1">
        <v>34516</v>
      </c>
      <c r="D1145" t="s">
        <v>197</v>
      </c>
      <c r="E1145">
        <v>1.53</v>
      </c>
    </row>
    <row r="1146" spans="1:5" x14ac:dyDescent="0.3">
      <c r="A1146" t="s">
        <v>329</v>
      </c>
      <c r="B1146" t="s">
        <v>330</v>
      </c>
      <c r="C1146" s="1">
        <v>34516</v>
      </c>
      <c r="D1146" t="s">
        <v>197</v>
      </c>
      <c r="E1146">
        <v>46.63</v>
      </c>
    </row>
    <row r="1147" spans="1:5" hidden="1" x14ac:dyDescent="0.3">
      <c r="A1147" t="s">
        <v>331</v>
      </c>
      <c r="B1147" t="s">
        <v>332</v>
      </c>
      <c r="C1147" s="1">
        <v>34516</v>
      </c>
      <c r="D1147" t="s">
        <v>197</v>
      </c>
      <c r="E1147">
        <v>8.2899999999999991</v>
      </c>
    </row>
    <row r="1148" spans="1:5" hidden="1" x14ac:dyDescent="0.3">
      <c r="A1148" t="s">
        <v>333</v>
      </c>
      <c r="B1148" t="s">
        <v>334</v>
      </c>
      <c r="C1148" s="1">
        <v>34516</v>
      </c>
      <c r="D1148" t="s">
        <v>197</v>
      </c>
      <c r="E1148">
        <v>33.47</v>
      </c>
    </row>
    <row r="1149" spans="1:5" hidden="1" x14ac:dyDescent="0.3">
      <c r="A1149" t="s">
        <v>335</v>
      </c>
      <c r="B1149" t="s">
        <v>336</v>
      </c>
      <c r="C1149" s="1">
        <v>34516</v>
      </c>
      <c r="D1149" t="s">
        <v>197</v>
      </c>
      <c r="E1149">
        <v>17.23</v>
      </c>
    </row>
    <row r="1150" spans="1:5" hidden="1" x14ac:dyDescent="0.3">
      <c r="A1150" t="s">
        <v>337</v>
      </c>
      <c r="B1150" t="s">
        <v>338</v>
      </c>
      <c r="C1150" s="1">
        <v>34516</v>
      </c>
      <c r="D1150" t="s">
        <v>197</v>
      </c>
      <c r="E1150">
        <v>3.31</v>
      </c>
    </row>
    <row r="1151" spans="1:5" hidden="1" x14ac:dyDescent="0.3">
      <c r="A1151" t="s">
        <v>371</v>
      </c>
      <c r="B1151" t="s">
        <v>372</v>
      </c>
      <c r="C1151" s="1">
        <v>34516</v>
      </c>
      <c r="D1151" t="s">
        <v>197</v>
      </c>
      <c r="E1151">
        <v>-11.76</v>
      </c>
    </row>
    <row r="1152" spans="1:5" hidden="1" x14ac:dyDescent="0.3">
      <c r="A1152" t="s">
        <v>5</v>
      </c>
      <c r="B1152" t="s">
        <v>6</v>
      </c>
      <c r="C1152" s="1">
        <v>34425</v>
      </c>
      <c r="D1152" t="s">
        <v>196</v>
      </c>
      <c r="E1152">
        <v>4.2300000000000004</v>
      </c>
    </row>
    <row r="1153" spans="1:5" hidden="1" x14ac:dyDescent="0.3">
      <c r="A1153" t="s">
        <v>325</v>
      </c>
      <c r="B1153" t="s">
        <v>326</v>
      </c>
      <c r="C1153" s="1">
        <v>34425</v>
      </c>
      <c r="D1153" t="s">
        <v>196</v>
      </c>
      <c r="E1153">
        <v>2.74</v>
      </c>
    </row>
    <row r="1154" spans="1:5" hidden="1" x14ac:dyDescent="0.3">
      <c r="A1154" t="s">
        <v>327</v>
      </c>
      <c r="B1154" t="s">
        <v>328</v>
      </c>
      <c r="C1154" s="1">
        <v>34425</v>
      </c>
      <c r="D1154" t="s">
        <v>196</v>
      </c>
      <c r="E1154">
        <v>0.32</v>
      </c>
    </row>
    <row r="1155" spans="1:5" x14ac:dyDescent="0.3">
      <c r="A1155" t="s">
        <v>329</v>
      </c>
      <c r="B1155" t="s">
        <v>330</v>
      </c>
      <c r="C1155" s="1">
        <v>34425</v>
      </c>
      <c r="D1155" t="s">
        <v>196</v>
      </c>
      <c r="E1155">
        <v>31.33</v>
      </c>
    </row>
    <row r="1156" spans="1:5" hidden="1" x14ac:dyDescent="0.3">
      <c r="A1156" t="s">
        <v>331</v>
      </c>
      <c r="B1156" t="s">
        <v>332</v>
      </c>
      <c r="C1156" s="1">
        <v>34425</v>
      </c>
      <c r="D1156" t="s">
        <v>196</v>
      </c>
      <c r="E1156">
        <v>8.06</v>
      </c>
    </row>
    <row r="1157" spans="1:5" hidden="1" x14ac:dyDescent="0.3">
      <c r="A1157" t="s">
        <v>333</v>
      </c>
      <c r="B1157" t="s">
        <v>334</v>
      </c>
      <c r="C1157" s="1">
        <v>34425</v>
      </c>
      <c r="D1157" t="s">
        <v>196</v>
      </c>
      <c r="E1157">
        <v>35.24</v>
      </c>
    </row>
    <row r="1158" spans="1:5" hidden="1" x14ac:dyDescent="0.3">
      <c r="A1158" t="s">
        <v>335</v>
      </c>
      <c r="B1158" t="s">
        <v>336</v>
      </c>
      <c r="C1158" s="1">
        <v>34425</v>
      </c>
      <c r="D1158" t="s">
        <v>196</v>
      </c>
      <c r="E1158">
        <v>11.8</v>
      </c>
    </row>
    <row r="1159" spans="1:5" hidden="1" x14ac:dyDescent="0.3">
      <c r="A1159" t="s">
        <v>337</v>
      </c>
      <c r="B1159" t="s">
        <v>338</v>
      </c>
      <c r="C1159" s="1">
        <v>34425</v>
      </c>
      <c r="D1159" t="s">
        <v>196</v>
      </c>
      <c r="E1159">
        <v>3.06</v>
      </c>
    </row>
    <row r="1160" spans="1:5" hidden="1" x14ac:dyDescent="0.3">
      <c r="A1160" t="s">
        <v>371</v>
      </c>
      <c r="B1160" t="s">
        <v>372</v>
      </c>
      <c r="C1160" s="1">
        <v>34425</v>
      </c>
      <c r="D1160" t="s">
        <v>196</v>
      </c>
      <c r="E1160">
        <v>-12.27</v>
      </c>
    </row>
    <row r="1161" spans="1:5" hidden="1" x14ac:dyDescent="0.3">
      <c r="A1161" t="s">
        <v>5</v>
      </c>
      <c r="B1161" t="s">
        <v>6</v>
      </c>
      <c r="C1161" s="1">
        <v>34335</v>
      </c>
      <c r="D1161" t="s">
        <v>195</v>
      </c>
      <c r="E1161">
        <v>3.43</v>
      </c>
    </row>
    <row r="1162" spans="1:5" hidden="1" x14ac:dyDescent="0.3">
      <c r="A1162" t="s">
        <v>325</v>
      </c>
      <c r="B1162" t="s">
        <v>326</v>
      </c>
      <c r="C1162" s="1">
        <v>34335</v>
      </c>
      <c r="D1162" t="s">
        <v>195</v>
      </c>
      <c r="E1162">
        <v>2.9</v>
      </c>
    </row>
    <row r="1163" spans="1:5" hidden="1" x14ac:dyDescent="0.3">
      <c r="A1163" t="s">
        <v>327</v>
      </c>
      <c r="B1163" t="s">
        <v>328</v>
      </c>
      <c r="C1163" s="1">
        <v>34335</v>
      </c>
      <c r="D1163" t="s">
        <v>195</v>
      </c>
      <c r="E1163">
        <v>0.34</v>
      </c>
    </row>
    <row r="1164" spans="1:5" x14ac:dyDescent="0.3">
      <c r="A1164" t="s">
        <v>329</v>
      </c>
      <c r="B1164" t="s">
        <v>330</v>
      </c>
      <c r="C1164" s="1">
        <v>34335</v>
      </c>
      <c r="D1164" t="s">
        <v>195</v>
      </c>
      <c r="E1164">
        <v>5.69</v>
      </c>
    </row>
    <row r="1165" spans="1:5" hidden="1" x14ac:dyDescent="0.3">
      <c r="A1165" t="s">
        <v>331</v>
      </c>
      <c r="B1165" t="s">
        <v>332</v>
      </c>
      <c r="C1165" s="1">
        <v>34335</v>
      </c>
      <c r="D1165" t="s">
        <v>195</v>
      </c>
      <c r="E1165">
        <v>8.58</v>
      </c>
    </row>
    <row r="1166" spans="1:5" hidden="1" x14ac:dyDescent="0.3">
      <c r="A1166" t="s">
        <v>333</v>
      </c>
      <c r="B1166" t="s">
        <v>334</v>
      </c>
      <c r="C1166" s="1">
        <v>34335</v>
      </c>
      <c r="D1166" t="s">
        <v>195</v>
      </c>
      <c r="E1166">
        <v>53.88</v>
      </c>
    </row>
    <row r="1167" spans="1:5" hidden="1" x14ac:dyDescent="0.3">
      <c r="A1167" t="s">
        <v>335</v>
      </c>
      <c r="B1167" t="s">
        <v>336</v>
      </c>
      <c r="C1167" s="1">
        <v>34335</v>
      </c>
      <c r="D1167" t="s">
        <v>195</v>
      </c>
      <c r="E1167">
        <v>6.57</v>
      </c>
    </row>
    <row r="1168" spans="1:5" hidden="1" x14ac:dyDescent="0.3">
      <c r="A1168" t="s">
        <v>337</v>
      </c>
      <c r="B1168" t="s">
        <v>338</v>
      </c>
      <c r="C1168" s="1">
        <v>34335</v>
      </c>
      <c r="D1168" t="s">
        <v>195</v>
      </c>
      <c r="E1168">
        <v>2.66</v>
      </c>
    </row>
    <row r="1169" spans="1:5" hidden="1" x14ac:dyDescent="0.3">
      <c r="A1169" t="s">
        <v>371</v>
      </c>
      <c r="B1169" t="s">
        <v>372</v>
      </c>
      <c r="C1169" s="1">
        <v>34335</v>
      </c>
      <c r="D1169" t="s">
        <v>195</v>
      </c>
      <c r="E1169">
        <v>-7.93</v>
      </c>
    </row>
    <row r="1170" spans="1:5" hidden="1" x14ac:dyDescent="0.3">
      <c r="A1170" t="s">
        <v>5</v>
      </c>
      <c r="B1170" t="s">
        <v>6</v>
      </c>
      <c r="C1170" s="1">
        <v>34243</v>
      </c>
      <c r="D1170" t="s">
        <v>194</v>
      </c>
      <c r="E1170">
        <v>2.61</v>
      </c>
    </row>
    <row r="1171" spans="1:5" hidden="1" x14ac:dyDescent="0.3">
      <c r="A1171" t="s">
        <v>325</v>
      </c>
      <c r="B1171" t="s">
        <v>326</v>
      </c>
      <c r="C1171" s="1">
        <v>34243</v>
      </c>
      <c r="D1171" t="s">
        <v>194</v>
      </c>
      <c r="E1171">
        <v>3.13</v>
      </c>
    </row>
    <row r="1172" spans="1:5" hidden="1" x14ac:dyDescent="0.3">
      <c r="A1172" t="s">
        <v>327</v>
      </c>
      <c r="B1172" t="s">
        <v>328</v>
      </c>
      <c r="C1172" s="1">
        <v>34243</v>
      </c>
      <c r="D1172" t="s">
        <v>194</v>
      </c>
      <c r="E1172">
        <v>0.2</v>
      </c>
    </row>
    <row r="1173" spans="1:5" x14ac:dyDescent="0.3">
      <c r="A1173" t="s">
        <v>329</v>
      </c>
      <c r="B1173" t="s">
        <v>330</v>
      </c>
      <c r="C1173" s="1">
        <v>34243</v>
      </c>
      <c r="D1173" t="s">
        <v>194</v>
      </c>
      <c r="E1173">
        <v>-1.55</v>
      </c>
    </row>
    <row r="1174" spans="1:5" hidden="1" x14ac:dyDescent="0.3">
      <c r="A1174" t="s">
        <v>331</v>
      </c>
      <c r="B1174" t="s">
        <v>332</v>
      </c>
      <c r="C1174" s="1">
        <v>34243</v>
      </c>
      <c r="D1174" t="s">
        <v>194</v>
      </c>
      <c r="E1174">
        <v>7.71</v>
      </c>
    </row>
    <row r="1175" spans="1:5" hidden="1" x14ac:dyDescent="0.3">
      <c r="A1175" t="s">
        <v>333</v>
      </c>
      <c r="B1175" t="s">
        <v>334</v>
      </c>
      <c r="C1175" s="1">
        <v>34243</v>
      </c>
      <c r="D1175" t="s">
        <v>194</v>
      </c>
      <c r="E1175">
        <v>47.65</v>
      </c>
    </row>
    <row r="1176" spans="1:5" hidden="1" x14ac:dyDescent="0.3">
      <c r="A1176" t="s">
        <v>335</v>
      </c>
      <c r="B1176" t="s">
        <v>336</v>
      </c>
      <c r="C1176" s="1">
        <v>34243</v>
      </c>
      <c r="D1176" t="s">
        <v>194</v>
      </c>
      <c r="E1176">
        <v>1</v>
      </c>
    </row>
    <row r="1177" spans="1:5" hidden="1" x14ac:dyDescent="0.3">
      <c r="A1177" t="s">
        <v>337</v>
      </c>
      <c r="B1177" t="s">
        <v>338</v>
      </c>
      <c r="C1177" s="1">
        <v>34243</v>
      </c>
      <c r="D1177" t="s">
        <v>194</v>
      </c>
      <c r="E1177">
        <v>2.48</v>
      </c>
    </row>
    <row r="1178" spans="1:5" hidden="1" x14ac:dyDescent="0.3">
      <c r="A1178" t="s">
        <v>371</v>
      </c>
      <c r="B1178" t="s">
        <v>372</v>
      </c>
      <c r="C1178" s="1">
        <v>34243</v>
      </c>
      <c r="D1178" t="s">
        <v>194</v>
      </c>
      <c r="E1178">
        <v>-9.9600000000000009</v>
      </c>
    </row>
    <row r="1179" spans="1:5" hidden="1" x14ac:dyDescent="0.3">
      <c r="A1179" t="s">
        <v>5</v>
      </c>
      <c r="B1179" t="s">
        <v>6</v>
      </c>
      <c r="C1179" s="1">
        <v>34151</v>
      </c>
      <c r="D1179" t="s">
        <v>193</v>
      </c>
      <c r="E1179">
        <v>2.29</v>
      </c>
    </row>
    <row r="1180" spans="1:5" hidden="1" x14ac:dyDescent="0.3">
      <c r="A1180" t="s">
        <v>325</v>
      </c>
      <c r="B1180" t="s">
        <v>326</v>
      </c>
      <c r="C1180" s="1">
        <v>34151</v>
      </c>
      <c r="D1180" t="s">
        <v>193</v>
      </c>
      <c r="E1180">
        <v>3.25</v>
      </c>
    </row>
    <row r="1181" spans="1:5" hidden="1" x14ac:dyDescent="0.3">
      <c r="A1181" t="s">
        <v>327</v>
      </c>
      <c r="B1181" t="s">
        <v>328</v>
      </c>
      <c r="C1181" s="1">
        <v>34151</v>
      </c>
      <c r="D1181" t="s">
        <v>193</v>
      </c>
      <c r="E1181">
        <v>0.79</v>
      </c>
    </row>
    <row r="1182" spans="1:5" x14ac:dyDescent="0.3">
      <c r="A1182" t="s">
        <v>329</v>
      </c>
      <c r="B1182" t="s">
        <v>330</v>
      </c>
      <c r="C1182" s="1">
        <v>34151</v>
      </c>
      <c r="D1182" t="s">
        <v>193</v>
      </c>
      <c r="E1182">
        <v>-6.05</v>
      </c>
    </row>
    <row r="1183" spans="1:5" hidden="1" x14ac:dyDescent="0.3">
      <c r="A1183" t="s">
        <v>331</v>
      </c>
      <c r="B1183" t="s">
        <v>332</v>
      </c>
      <c r="C1183" s="1">
        <v>34151</v>
      </c>
      <c r="D1183" t="s">
        <v>193</v>
      </c>
      <c r="E1183">
        <v>7.77</v>
      </c>
    </row>
    <row r="1184" spans="1:5" hidden="1" x14ac:dyDescent="0.3">
      <c r="A1184" t="s">
        <v>333</v>
      </c>
      <c r="B1184" t="s">
        <v>334</v>
      </c>
      <c r="C1184" s="1">
        <v>34151</v>
      </c>
      <c r="D1184" t="s">
        <v>193</v>
      </c>
      <c r="E1184">
        <v>76.430000000000007</v>
      </c>
    </row>
    <row r="1185" spans="1:5" hidden="1" x14ac:dyDescent="0.3">
      <c r="A1185" t="s">
        <v>335</v>
      </c>
      <c r="B1185" t="s">
        <v>336</v>
      </c>
      <c r="C1185" s="1">
        <v>34151</v>
      </c>
      <c r="D1185" t="s">
        <v>193</v>
      </c>
      <c r="E1185">
        <v>1.71</v>
      </c>
    </row>
    <row r="1186" spans="1:5" hidden="1" x14ac:dyDescent="0.3">
      <c r="A1186" t="s">
        <v>337</v>
      </c>
      <c r="B1186" t="s">
        <v>338</v>
      </c>
      <c r="C1186" s="1">
        <v>34151</v>
      </c>
      <c r="D1186" t="s">
        <v>193</v>
      </c>
      <c r="E1186">
        <v>2.16</v>
      </c>
    </row>
    <row r="1187" spans="1:5" hidden="1" x14ac:dyDescent="0.3">
      <c r="A1187" t="s">
        <v>371</v>
      </c>
      <c r="B1187" t="s">
        <v>372</v>
      </c>
      <c r="C1187" s="1">
        <v>34151</v>
      </c>
      <c r="D1187" t="s">
        <v>193</v>
      </c>
      <c r="E1187">
        <v>-10.91</v>
      </c>
    </row>
    <row r="1188" spans="1:5" hidden="1" x14ac:dyDescent="0.3">
      <c r="A1188" t="s">
        <v>5</v>
      </c>
      <c r="B1188" t="s">
        <v>6</v>
      </c>
      <c r="C1188" s="1">
        <v>34060</v>
      </c>
      <c r="D1188" t="s">
        <v>192</v>
      </c>
      <c r="E1188">
        <v>2.81</v>
      </c>
    </row>
    <row r="1189" spans="1:5" hidden="1" x14ac:dyDescent="0.3">
      <c r="A1189" t="s">
        <v>325</v>
      </c>
      <c r="B1189" t="s">
        <v>326</v>
      </c>
      <c r="C1189" s="1">
        <v>34060</v>
      </c>
      <c r="D1189" t="s">
        <v>192</v>
      </c>
      <c r="E1189">
        <v>3.43</v>
      </c>
    </row>
    <row r="1190" spans="1:5" hidden="1" x14ac:dyDescent="0.3">
      <c r="A1190" t="s">
        <v>327</v>
      </c>
      <c r="B1190" t="s">
        <v>328</v>
      </c>
      <c r="C1190" s="1">
        <v>34060</v>
      </c>
      <c r="D1190" t="s">
        <v>192</v>
      </c>
      <c r="E1190">
        <v>1.81</v>
      </c>
    </row>
    <row r="1191" spans="1:5" x14ac:dyDescent="0.3">
      <c r="A1191" t="s">
        <v>329</v>
      </c>
      <c r="B1191" t="s">
        <v>330</v>
      </c>
      <c r="C1191" s="1">
        <v>34060</v>
      </c>
      <c r="D1191" t="s">
        <v>192</v>
      </c>
      <c r="E1191">
        <v>-20.420000000000002</v>
      </c>
    </row>
    <row r="1192" spans="1:5" hidden="1" x14ac:dyDescent="0.3">
      <c r="A1192" t="s">
        <v>331</v>
      </c>
      <c r="B1192" t="s">
        <v>332</v>
      </c>
      <c r="C1192" s="1">
        <v>34060</v>
      </c>
      <c r="D1192" t="s">
        <v>192</v>
      </c>
      <c r="E1192">
        <v>7.58</v>
      </c>
    </row>
    <row r="1193" spans="1:5" hidden="1" x14ac:dyDescent="0.3">
      <c r="A1193" t="s">
        <v>333</v>
      </c>
      <c r="B1193" t="s">
        <v>334</v>
      </c>
      <c r="C1193" s="1">
        <v>34060</v>
      </c>
      <c r="D1193" t="s">
        <v>192</v>
      </c>
      <c r="E1193">
        <v>80.099999999999994</v>
      </c>
    </row>
    <row r="1194" spans="1:5" hidden="1" x14ac:dyDescent="0.3">
      <c r="A1194" t="s">
        <v>335</v>
      </c>
      <c r="B1194" t="s">
        <v>336</v>
      </c>
      <c r="C1194" s="1">
        <v>34060</v>
      </c>
      <c r="D1194" t="s">
        <v>192</v>
      </c>
      <c r="E1194">
        <v>4.4800000000000004</v>
      </c>
    </row>
    <row r="1195" spans="1:5" hidden="1" x14ac:dyDescent="0.3">
      <c r="A1195" t="s">
        <v>337</v>
      </c>
      <c r="B1195" t="s">
        <v>338</v>
      </c>
      <c r="C1195" s="1">
        <v>34060</v>
      </c>
      <c r="D1195" t="s">
        <v>192</v>
      </c>
      <c r="E1195">
        <v>1.76</v>
      </c>
    </row>
    <row r="1196" spans="1:5" hidden="1" x14ac:dyDescent="0.3">
      <c r="A1196" t="s">
        <v>371</v>
      </c>
      <c r="B1196" t="s">
        <v>372</v>
      </c>
      <c r="C1196" s="1">
        <v>34060</v>
      </c>
      <c r="D1196" t="s">
        <v>192</v>
      </c>
      <c r="E1196">
        <v>-7.01</v>
      </c>
    </row>
    <row r="1197" spans="1:5" hidden="1" x14ac:dyDescent="0.3">
      <c r="A1197" t="s">
        <v>5</v>
      </c>
      <c r="B1197" t="s">
        <v>6</v>
      </c>
      <c r="C1197" s="1">
        <v>33970</v>
      </c>
      <c r="D1197" t="s">
        <v>191</v>
      </c>
      <c r="E1197">
        <v>3.32</v>
      </c>
    </row>
    <row r="1198" spans="1:5" hidden="1" x14ac:dyDescent="0.3">
      <c r="A1198" t="s">
        <v>325</v>
      </c>
      <c r="B1198" t="s">
        <v>326</v>
      </c>
      <c r="C1198" s="1">
        <v>33970</v>
      </c>
      <c r="D1198" t="s">
        <v>191</v>
      </c>
      <c r="E1198">
        <v>3.46</v>
      </c>
    </row>
    <row r="1199" spans="1:5" hidden="1" x14ac:dyDescent="0.3">
      <c r="A1199" t="s">
        <v>327</v>
      </c>
      <c r="B1199" t="s">
        <v>328</v>
      </c>
      <c r="C1199" s="1">
        <v>33970</v>
      </c>
      <c r="D1199" t="s">
        <v>191</v>
      </c>
      <c r="E1199">
        <v>2.0299999999999998</v>
      </c>
    </row>
    <row r="1200" spans="1:5" x14ac:dyDescent="0.3">
      <c r="A1200" t="s">
        <v>329</v>
      </c>
      <c r="B1200" t="s">
        <v>330</v>
      </c>
      <c r="C1200" s="1">
        <v>33970</v>
      </c>
      <c r="D1200" t="s">
        <v>191</v>
      </c>
      <c r="E1200">
        <v>-24.43</v>
      </c>
    </row>
    <row r="1201" spans="1:5" hidden="1" x14ac:dyDescent="0.3">
      <c r="A1201" t="s">
        <v>331</v>
      </c>
      <c r="B1201" t="s">
        <v>332</v>
      </c>
      <c r="C1201" s="1">
        <v>33970</v>
      </c>
      <c r="D1201" t="s">
        <v>191</v>
      </c>
      <c r="E1201">
        <v>6.08</v>
      </c>
    </row>
    <row r="1202" spans="1:5" hidden="1" x14ac:dyDescent="0.3">
      <c r="A1202" t="s">
        <v>333</v>
      </c>
      <c r="B1202" t="s">
        <v>334</v>
      </c>
      <c r="C1202" s="1">
        <v>33970</v>
      </c>
      <c r="D1202" t="s">
        <v>191</v>
      </c>
      <c r="E1202">
        <v>159.08000000000001</v>
      </c>
    </row>
    <row r="1203" spans="1:5" hidden="1" x14ac:dyDescent="0.3">
      <c r="A1203" t="s">
        <v>335</v>
      </c>
      <c r="B1203" t="s">
        <v>336</v>
      </c>
      <c r="C1203" s="1">
        <v>33970</v>
      </c>
      <c r="D1203" t="s">
        <v>191</v>
      </c>
      <c r="E1203">
        <v>23.32</v>
      </c>
    </row>
    <row r="1204" spans="1:5" hidden="1" x14ac:dyDescent="0.3">
      <c r="A1204" t="s">
        <v>337</v>
      </c>
      <c r="B1204" t="s">
        <v>338</v>
      </c>
      <c r="C1204" s="1">
        <v>33970</v>
      </c>
      <c r="D1204" t="s">
        <v>191</v>
      </c>
      <c r="E1204">
        <v>1.48</v>
      </c>
    </row>
    <row r="1205" spans="1:5" hidden="1" x14ac:dyDescent="0.3">
      <c r="A1205" t="s">
        <v>371</v>
      </c>
      <c r="B1205" t="s">
        <v>372</v>
      </c>
      <c r="C1205" s="1">
        <v>33970</v>
      </c>
      <c r="D1205" t="s">
        <v>191</v>
      </c>
      <c r="E1205">
        <v>-3.18</v>
      </c>
    </row>
    <row r="1206" spans="1:5" hidden="1" x14ac:dyDescent="0.3">
      <c r="A1206" t="s">
        <v>5</v>
      </c>
      <c r="B1206" t="s">
        <v>6</v>
      </c>
      <c r="C1206" s="1">
        <v>33878</v>
      </c>
      <c r="D1206" t="s">
        <v>190</v>
      </c>
      <c r="E1206">
        <v>4.38</v>
      </c>
    </row>
    <row r="1207" spans="1:5" hidden="1" x14ac:dyDescent="0.3">
      <c r="A1207" t="s">
        <v>325</v>
      </c>
      <c r="B1207" t="s">
        <v>326</v>
      </c>
      <c r="C1207" s="1">
        <v>33878</v>
      </c>
      <c r="D1207" t="s">
        <v>190</v>
      </c>
      <c r="E1207">
        <v>3.47</v>
      </c>
    </row>
    <row r="1208" spans="1:5" hidden="1" x14ac:dyDescent="0.3">
      <c r="A1208" t="s">
        <v>327</v>
      </c>
      <c r="B1208" t="s">
        <v>328</v>
      </c>
      <c r="C1208" s="1">
        <v>33878</v>
      </c>
      <c r="D1208" t="s">
        <v>190</v>
      </c>
      <c r="E1208">
        <v>1.96</v>
      </c>
    </row>
    <row r="1209" spans="1:5" x14ac:dyDescent="0.3">
      <c r="A1209" t="s">
        <v>329</v>
      </c>
      <c r="B1209" t="s">
        <v>330</v>
      </c>
      <c r="C1209" s="1">
        <v>33878</v>
      </c>
      <c r="D1209" t="s">
        <v>190</v>
      </c>
      <c r="E1209">
        <v>-36.950000000000003</v>
      </c>
    </row>
    <row r="1210" spans="1:5" hidden="1" x14ac:dyDescent="0.3">
      <c r="A1210" t="s">
        <v>331</v>
      </c>
      <c r="B1210" t="s">
        <v>332</v>
      </c>
      <c r="C1210" s="1">
        <v>33878</v>
      </c>
      <c r="D1210" t="s">
        <v>190</v>
      </c>
    </row>
    <row r="1211" spans="1:5" hidden="1" x14ac:dyDescent="0.3">
      <c r="A1211" t="s">
        <v>333</v>
      </c>
      <c r="B1211" t="s">
        <v>334</v>
      </c>
      <c r="C1211" s="1">
        <v>33878</v>
      </c>
      <c r="D1211" t="s">
        <v>190</v>
      </c>
    </row>
    <row r="1212" spans="1:5" hidden="1" x14ac:dyDescent="0.3">
      <c r="A1212" t="s">
        <v>335</v>
      </c>
      <c r="B1212" t="s">
        <v>336</v>
      </c>
      <c r="C1212" s="1">
        <v>33878</v>
      </c>
      <c r="D1212" t="s">
        <v>190</v>
      </c>
      <c r="E1212">
        <v>15.77</v>
      </c>
    </row>
    <row r="1213" spans="1:5" hidden="1" x14ac:dyDescent="0.3">
      <c r="A1213" t="s">
        <v>337</v>
      </c>
      <c r="B1213" t="s">
        <v>338</v>
      </c>
      <c r="C1213" s="1">
        <v>33878</v>
      </c>
      <c r="D1213" t="s">
        <v>190</v>
      </c>
      <c r="E1213">
        <v>0.9</v>
      </c>
    </row>
    <row r="1214" spans="1:5" hidden="1" x14ac:dyDescent="0.3">
      <c r="A1214" t="s">
        <v>371</v>
      </c>
      <c r="B1214" t="s">
        <v>372</v>
      </c>
      <c r="C1214" s="1">
        <v>33878</v>
      </c>
      <c r="D1214" t="s">
        <v>190</v>
      </c>
      <c r="E1214">
        <v>3.76</v>
      </c>
    </row>
    <row r="1215" spans="1:5" hidden="1" x14ac:dyDescent="0.3">
      <c r="A1215" t="s">
        <v>5</v>
      </c>
      <c r="B1215" t="s">
        <v>6</v>
      </c>
      <c r="C1215" s="1">
        <v>33786</v>
      </c>
      <c r="D1215" t="s">
        <v>189</v>
      </c>
      <c r="E1215">
        <v>3.67</v>
      </c>
    </row>
    <row r="1216" spans="1:5" hidden="1" x14ac:dyDescent="0.3">
      <c r="A1216" t="s">
        <v>325</v>
      </c>
      <c r="B1216" t="s">
        <v>326</v>
      </c>
      <c r="C1216" s="1">
        <v>33786</v>
      </c>
      <c r="D1216" t="s">
        <v>189</v>
      </c>
      <c r="E1216">
        <v>3.5</v>
      </c>
    </row>
    <row r="1217" spans="1:5" hidden="1" x14ac:dyDescent="0.3">
      <c r="A1217" t="s">
        <v>327</v>
      </c>
      <c r="B1217" t="s">
        <v>328</v>
      </c>
      <c r="C1217" s="1">
        <v>33786</v>
      </c>
      <c r="D1217" t="s">
        <v>189</v>
      </c>
      <c r="E1217">
        <v>2.31</v>
      </c>
    </row>
    <row r="1218" spans="1:5" x14ac:dyDescent="0.3">
      <c r="A1218" t="s">
        <v>329</v>
      </c>
      <c r="B1218" t="s">
        <v>330</v>
      </c>
      <c r="C1218" s="1">
        <v>33786</v>
      </c>
      <c r="D1218" t="s">
        <v>189</v>
      </c>
      <c r="E1218">
        <v>-42.28</v>
      </c>
    </row>
    <row r="1219" spans="1:5" hidden="1" x14ac:dyDescent="0.3">
      <c r="A1219" t="s">
        <v>331</v>
      </c>
      <c r="B1219" t="s">
        <v>332</v>
      </c>
      <c r="C1219" s="1">
        <v>33786</v>
      </c>
      <c r="D1219" t="s">
        <v>189</v>
      </c>
    </row>
    <row r="1220" spans="1:5" hidden="1" x14ac:dyDescent="0.3">
      <c r="A1220" t="s">
        <v>333</v>
      </c>
      <c r="B1220" t="s">
        <v>334</v>
      </c>
      <c r="C1220" s="1">
        <v>33786</v>
      </c>
      <c r="D1220" t="s">
        <v>189</v>
      </c>
    </row>
    <row r="1221" spans="1:5" hidden="1" x14ac:dyDescent="0.3">
      <c r="A1221" t="s">
        <v>335</v>
      </c>
      <c r="B1221" t="s">
        <v>336</v>
      </c>
      <c r="C1221" s="1">
        <v>33786</v>
      </c>
      <c r="D1221" t="s">
        <v>189</v>
      </c>
      <c r="E1221">
        <v>-7.91</v>
      </c>
    </row>
    <row r="1222" spans="1:5" hidden="1" x14ac:dyDescent="0.3">
      <c r="A1222" t="s">
        <v>337</v>
      </c>
      <c r="B1222" t="s">
        <v>338</v>
      </c>
      <c r="C1222" s="1">
        <v>33786</v>
      </c>
      <c r="D1222" t="s">
        <v>189</v>
      </c>
      <c r="E1222">
        <v>0.53</v>
      </c>
    </row>
    <row r="1223" spans="1:5" hidden="1" x14ac:dyDescent="0.3">
      <c r="A1223" t="s">
        <v>371</v>
      </c>
      <c r="B1223" t="s">
        <v>372</v>
      </c>
      <c r="C1223" s="1">
        <v>33786</v>
      </c>
      <c r="D1223" t="s">
        <v>189</v>
      </c>
      <c r="E1223">
        <v>11.15</v>
      </c>
    </row>
    <row r="1224" spans="1:5" hidden="1" x14ac:dyDescent="0.3">
      <c r="A1224" t="s">
        <v>5</v>
      </c>
      <c r="B1224" t="s">
        <v>6</v>
      </c>
      <c r="C1224" s="1">
        <v>33695</v>
      </c>
      <c r="D1224" t="s">
        <v>188</v>
      </c>
      <c r="E1224">
        <v>3.17</v>
      </c>
    </row>
    <row r="1225" spans="1:5" hidden="1" x14ac:dyDescent="0.3">
      <c r="A1225" t="s">
        <v>325</v>
      </c>
      <c r="B1225" t="s">
        <v>326</v>
      </c>
      <c r="C1225" s="1">
        <v>33695</v>
      </c>
      <c r="D1225" t="s">
        <v>188</v>
      </c>
      <c r="E1225">
        <v>3.82</v>
      </c>
    </row>
    <row r="1226" spans="1:5" hidden="1" x14ac:dyDescent="0.3">
      <c r="A1226" t="s">
        <v>327</v>
      </c>
      <c r="B1226" t="s">
        <v>328</v>
      </c>
      <c r="C1226" s="1">
        <v>33695</v>
      </c>
      <c r="D1226" t="s">
        <v>188</v>
      </c>
      <c r="E1226">
        <v>2.68</v>
      </c>
    </row>
    <row r="1227" spans="1:5" x14ac:dyDescent="0.3">
      <c r="A1227" t="s">
        <v>329</v>
      </c>
      <c r="B1227" t="s">
        <v>330</v>
      </c>
      <c r="C1227" s="1">
        <v>33695</v>
      </c>
      <c r="D1227" t="s">
        <v>188</v>
      </c>
      <c r="E1227">
        <v>-35.700000000000003</v>
      </c>
    </row>
    <row r="1228" spans="1:5" hidden="1" x14ac:dyDescent="0.3">
      <c r="A1228" t="s">
        <v>331</v>
      </c>
      <c r="B1228" t="s">
        <v>332</v>
      </c>
      <c r="C1228" s="1">
        <v>33695</v>
      </c>
      <c r="D1228" t="s">
        <v>188</v>
      </c>
    </row>
    <row r="1229" spans="1:5" hidden="1" x14ac:dyDescent="0.3">
      <c r="A1229" t="s">
        <v>333</v>
      </c>
      <c r="B1229" t="s">
        <v>334</v>
      </c>
      <c r="C1229" s="1">
        <v>33695</v>
      </c>
      <c r="D1229" t="s">
        <v>188</v>
      </c>
    </row>
    <row r="1230" spans="1:5" hidden="1" x14ac:dyDescent="0.3">
      <c r="A1230" t="s">
        <v>335</v>
      </c>
      <c r="B1230" t="s">
        <v>336</v>
      </c>
      <c r="C1230" s="1">
        <v>33695</v>
      </c>
      <c r="D1230" t="s">
        <v>188</v>
      </c>
      <c r="E1230">
        <v>-2.23</v>
      </c>
    </row>
    <row r="1231" spans="1:5" hidden="1" x14ac:dyDescent="0.3">
      <c r="A1231" t="s">
        <v>337</v>
      </c>
      <c r="B1231" t="s">
        <v>338</v>
      </c>
      <c r="C1231" s="1">
        <v>33695</v>
      </c>
      <c r="D1231" t="s">
        <v>188</v>
      </c>
      <c r="E1231">
        <v>0.28999999999999998</v>
      </c>
    </row>
    <row r="1232" spans="1:5" hidden="1" x14ac:dyDescent="0.3">
      <c r="A1232" t="s">
        <v>371</v>
      </c>
      <c r="B1232" t="s">
        <v>372</v>
      </c>
      <c r="C1232" s="1">
        <v>33695</v>
      </c>
      <c r="D1232" t="s">
        <v>188</v>
      </c>
      <c r="E1232">
        <v>11.22</v>
      </c>
    </row>
    <row r="1233" spans="1:5" hidden="1" x14ac:dyDescent="0.3">
      <c r="A1233" t="s">
        <v>5</v>
      </c>
      <c r="B1233" t="s">
        <v>6</v>
      </c>
      <c r="C1233" s="1">
        <v>33604</v>
      </c>
      <c r="D1233" t="s">
        <v>187</v>
      </c>
      <c r="E1233">
        <v>2.86</v>
      </c>
    </row>
    <row r="1234" spans="1:5" hidden="1" x14ac:dyDescent="0.3">
      <c r="A1234" t="s">
        <v>325</v>
      </c>
      <c r="B1234" t="s">
        <v>326</v>
      </c>
      <c r="C1234" s="1">
        <v>33604</v>
      </c>
      <c r="D1234" t="s">
        <v>187</v>
      </c>
      <c r="E1234">
        <v>3.86</v>
      </c>
    </row>
    <row r="1235" spans="1:5" hidden="1" x14ac:dyDescent="0.3">
      <c r="A1235" t="s">
        <v>327</v>
      </c>
      <c r="B1235" t="s">
        <v>328</v>
      </c>
      <c r="C1235" s="1">
        <v>33604</v>
      </c>
      <c r="D1235" t="s">
        <v>187</v>
      </c>
      <c r="E1235">
        <v>2.59</v>
      </c>
    </row>
    <row r="1236" spans="1:5" x14ac:dyDescent="0.3">
      <c r="A1236" t="s">
        <v>329</v>
      </c>
      <c r="B1236" t="s">
        <v>330</v>
      </c>
      <c r="C1236" s="1">
        <v>33604</v>
      </c>
      <c r="D1236" t="s">
        <v>187</v>
      </c>
      <c r="E1236">
        <v>-37.4</v>
      </c>
    </row>
    <row r="1237" spans="1:5" hidden="1" x14ac:dyDescent="0.3">
      <c r="A1237" t="s">
        <v>331</v>
      </c>
      <c r="B1237" t="s">
        <v>332</v>
      </c>
      <c r="C1237" s="1">
        <v>33604</v>
      </c>
      <c r="D1237" t="s">
        <v>187</v>
      </c>
    </row>
    <row r="1238" spans="1:5" hidden="1" x14ac:dyDescent="0.3">
      <c r="A1238" t="s">
        <v>333</v>
      </c>
      <c r="B1238" t="s">
        <v>334</v>
      </c>
      <c r="C1238" s="1">
        <v>33604</v>
      </c>
      <c r="D1238" t="s">
        <v>187</v>
      </c>
    </row>
    <row r="1239" spans="1:5" hidden="1" x14ac:dyDescent="0.3">
      <c r="A1239" t="s">
        <v>335</v>
      </c>
      <c r="B1239" t="s">
        <v>336</v>
      </c>
      <c r="C1239" s="1">
        <v>33604</v>
      </c>
      <c r="D1239" t="s">
        <v>187</v>
      </c>
      <c r="E1239">
        <v>-5.6</v>
      </c>
    </row>
    <row r="1240" spans="1:5" hidden="1" x14ac:dyDescent="0.3">
      <c r="A1240" t="s">
        <v>337</v>
      </c>
      <c r="B1240" t="s">
        <v>338</v>
      </c>
      <c r="C1240" s="1">
        <v>33604</v>
      </c>
      <c r="D1240" t="s">
        <v>187</v>
      </c>
      <c r="E1240">
        <v>-0.4</v>
      </c>
    </row>
    <row r="1241" spans="1:5" hidden="1" x14ac:dyDescent="0.3">
      <c r="A1241" t="s">
        <v>371</v>
      </c>
      <c r="B1241" t="s">
        <v>372</v>
      </c>
      <c r="C1241" s="1">
        <v>33604</v>
      </c>
      <c r="D1241" t="s">
        <v>187</v>
      </c>
      <c r="E1241">
        <v>11.62</v>
      </c>
    </row>
    <row r="1242" spans="1:5" hidden="1" x14ac:dyDescent="0.3">
      <c r="A1242" t="s">
        <v>5</v>
      </c>
      <c r="B1242" t="s">
        <v>6</v>
      </c>
      <c r="C1242" s="1">
        <v>33512</v>
      </c>
      <c r="D1242" t="s">
        <v>186</v>
      </c>
      <c r="E1242">
        <v>1.17</v>
      </c>
    </row>
    <row r="1243" spans="1:5" hidden="1" x14ac:dyDescent="0.3">
      <c r="A1243" t="s">
        <v>325</v>
      </c>
      <c r="B1243" t="s">
        <v>326</v>
      </c>
      <c r="C1243" s="1">
        <v>33512</v>
      </c>
      <c r="D1243" t="s">
        <v>186</v>
      </c>
      <c r="E1243">
        <v>4.4400000000000004</v>
      </c>
    </row>
    <row r="1244" spans="1:5" hidden="1" x14ac:dyDescent="0.3">
      <c r="A1244" t="s">
        <v>327</v>
      </c>
      <c r="B1244" t="s">
        <v>328</v>
      </c>
      <c r="C1244" s="1">
        <v>33512</v>
      </c>
      <c r="D1244" t="s">
        <v>186</v>
      </c>
      <c r="E1244">
        <v>3.22</v>
      </c>
    </row>
    <row r="1245" spans="1:5" x14ac:dyDescent="0.3">
      <c r="A1245" t="s">
        <v>329</v>
      </c>
      <c r="B1245" t="s">
        <v>330</v>
      </c>
      <c r="C1245" s="1">
        <v>33512</v>
      </c>
      <c r="D1245" t="s">
        <v>186</v>
      </c>
      <c r="E1245">
        <v>-37.79</v>
      </c>
    </row>
    <row r="1246" spans="1:5" hidden="1" x14ac:dyDescent="0.3">
      <c r="A1246" t="s">
        <v>335</v>
      </c>
      <c r="B1246" t="s">
        <v>336</v>
      </c>
      <c r="C1246" s="1">
        <v>33512</v>
      </c>
      <c r="D1246" t="s">
        <v>186</v>
      </c>
      <c r="E1246">
        <v>10.34</v>
      </c>
    </row>
    <row r="1247" spans="1:5" hidden="1" x14ac:dyDescent="0.3">
      <c r="A1247" t="s">
        <v>337</v>
      </c>
      <c r="B1247" t="s">
        <v>338</v>
      </c>
      <c r="C1247" s="1">
        <v>33512</v>
      </c>
      <c r="D1247" t="s">
        <v>186</v>
      </c>
      <c r="E1247">
        <v>-0.85</v>
      </c>
    </row>
    <row r="1248" spans="1:5" hidden="1" x14ac:dyDescent="0.3">
      <c r="A1248" t="s">
        <v>371</v>
      </c>
      <c r="B1248" t="s">
        <v>372</v>
      </c>
      <c r="C1248" s="1">
        <v>33512</v>
      </c>
      <c r="D1248" t="s">
        <v>186</v>
      </c>
      <c r="E1248">
        <v>15.77</v>
      </c>
    </row>
    <row r="1249" spans="1:5" hidden="1" x14ac:dyDescent="0.3">
      <c r="A1249" t="s">
        <v>5</v>
      </c>
      <c r="B1249" t="s">
        <v>6</v>
      </c>
      <c r="C1249" s="1">
        <v>33420</v>
      </c>
      <c r="D1249" t="s">
        <v>185</v>
      </c>
      <c r="E1249">
        <v>-0.1</v>
      </c>
    </row>
    <row r="1250" spans="1:5" hidden="1" x14ac:dyDescent="0.3">
      <c r="A1250" t="s">
        <v>325</v>
      </c>
      <c r="B1250" t="s">
        <v>326</v>
      </c>
      <c r="C1250" s="1">
        <v>33420</v>
      </c>
      <c r="D1250" t="s">
        <v>185</v>
      </c>
      <c r="E1250">
        <v>4.66</v>
      </c>
    </row>
    <row r="1251" spans="1:5" hidden="1" x14ac:dyDescent="0.3">
      <c r="A1251" t="s">
        <v>327</v>
      </c>
      <c r="B1251" t="s">
        <v>328</v>
      </c>
      <c r="C1251" s="1">
        <v>33420</v>
      </c>
      <c r="D1251" t="s">
        <v>185</v>
      </c>
      <c r="E1251">
        <v>3.33</v>
      </c>
    </row>
    <row r="1252" spans="1:5" x14ac:dyDescent="0.3">
      <c r="A1252" t="s">
        <v>329</v>
      </c>
      <c r="B1252" t="s">
        <v>330</v>
      </c>
      <c r="C1252" s="1">
        <v>33420</v>
      </c>
      <c r="D1252" t="s">
        <v>185</v>
      </c>
      <c r="E1252">
        <v>-30.85</v>
      </c>
    </row>
    <row r="1253" spans="1:5" hidden="1" x14ac:dyDescent="0.3">
      <c r="A1253" t="s">
        <v>335</v>
      </c>
      <c r="B1253" t="s">
        <v>336</v>
      </c>
      <c r="C1253" s="1">
        <v>33420</v>
      </c>
      <c r="D1253" t="s">
        <v>185</v>
      </c>
      <c r="E1253">
        <v>4.42</v>
      </c>
    </row>
    <row r="1254" spans="1:5" hidden="1" x14ac:dyDescent="0.3">
      <c r="A1254" t="s">
        <v>337</v>
      </c>
      <c r="B1254" t="s">
        <v>338</v>
      </c>
      <c r="C1254" s="1">
        <v>33420</v>
      </c>
      <c r="D1254" t="s">
        <v>185</v>
      </c>
      <c r="E1254">
        <v>-1.22</v>
      </c>
    </row>
    <row r="1255" spans="1:5" hidden="1" x14ac:dyDescent="0.3">
      <c r="A1255" t="s">
        <v>371</v>
      </c>
      <c r="B1255" t="s">
        <v>372</v>
      </c>
      <c r="C1255" s="1">
        <v>33420</v>
      </c>
      <c r="D1255" t="s">
        <v>185</v>
      </c>
      <c r="E1255">
        <v>20.47</v>
      </c>
    </row>
    <row r="1256" spans="1:5" hidden="1" x14ac:dyDescent="0.3">
      <c r="A1256" t="s">
        <v>5</v>
      </c>
      <c r="B1256" t="s">
        <v>6</v>
      </c>
      <c r="C1256" s="1">
        <v>33329</v>
      </c>
      <c r="D1256" t="s">
        <v>184</v>
      </c>
      <c r="E1256">
        <v>-0.54</v>
      </c>
    </row>
    <row r="1257" spans="1:5" hidden="1" x14ac:dyDescent="0.3">
      <c r="A1257" t="s">
        <v>325</v>
      </c>
      <c r="B1257" t="s">
        <v>326</v>
      </c>
      <c r="C1257" s="1">
        <v>33329</v>
      </c>
      <c r="D1257" t="s">
        <v>184</v>
      </c>
      <c r="E1257">
        <v>5.08</v>
      </c>
    </row>
    <row r="1258" spans="1:5" hidden="1" x14ac:dyDescent="0.3">
      <c r="A1258" t="s">
        <v>327</v>
      </c>
      <c r="B1258" t="s">
        <v>328</v>
      </c>
      <c r="C1258" s="1">
        <v>33329</v>
      </c>
      <c r="D1258" t="s">
        <v>184</v>
      </c>
      <c r="E1258">
        <v>3.65</v>
      </c>
    </row>
    <row r="1259" spans="1:5" x14ac:dyDescent="0.3">
      <c r="A1259" t="s">
        <v>329</v>
      </c>
      <c r="B1259" t="s">
        <v>330</v>
      </c>
      <c r="C1259" s="1">
        <v>33329</v>
      </c>
      <c r="D1259" t="s">
        <v>184</v>
      </c>
      <c r="E1259">
        <v>-28.87</v>
      </c>
    </row>
    <row r="1260" spans="1:5" hidden="1" x14ac:dyDescent="0.3">
      <c r="A1260" t="s">
        <v>335</v>
      </c>
      <c r="B1260" t="s">
        <v>336</v>
      </c>
      <c r="C1260" s="1">
        <v>33329</v>
      </c>
      <c r="D1260" t="s">
        <v>184</v>
      </c>
      <c r="E1260">
        <v>-11.22</v>
      </c>
    </row>
    <row r="1261" spans="1:5" hidden="1" x14ac:dyDescent="0.3">
      <c r="A1261" t="s">
        <v>337</v>
      </c>
      <c r="B1261" t="s">
        <v>338</v>
      </c>
      <c r="C1261" s="1">
        <v>33329</v>
      </c>
      <c r="D1261" t="s">
        <v>184</v>
      </c>
      <c r="E1261">
        <v>-1.34</v>
      </c>
    </row>
    <row r="1262" spans="1:5" hidden="1" x14ac:dyDescent="0.3">
      <c r="A1262" t="s">
        <v>371</v>
      </c>
      <c r="B1262" t="s">
        <v>372</v>
      </c>
      <c r="C1262" s="1">
        <v>33329</v>
      </c>
      <c r="D1262" t="s">
        <v>184</v>
      </c>
      <c r="E1262">
        <v>28.13</v>
      </c>
    </row>
    <row r="1263" spans="1:5" hidden="1" x14ac:dyDescent="0.3">
      <c r="A1263" t="s">
        <v>5</v>
      </c>
      <c r="B1263" t="s">
        <v>6</v>
      </c>
      <c r="C1263" s="1">
        <v>33239</v>
      </c>
      <c r="D1263" t="s">
        <v>183</v>
      </c>
      <c r="E1263">
        <v>-0.95</v>
      </c>
    </row>
    <row r="1264" spans="1:5" hidden="1" x14ac:dyDescent="0.3">
      <c r="A1264" t="s">
        <v>325</v>
      </c>
      <c r="B1264" t="s">
        <v>326</v>
      </c>
      <c r="C1264" s="1">
        <v>33239</v>
      </c>
      <c r="D1264" t="s">
        <v>183</v>
      </c>
      <c r="E1264">
        <v>5.5</v>
      </c>
    </row>
    <row r="1265" spans="1:5" hidden="1" x14ac:dyDescent="0.3">
      <c r="A1265" t="s">
        <v>327</v>
      </c>
      <c r="B1265" t="s">
        <v>328</v>
      </c>
      <c r="C1265" s="1">
        <v>33239</v>
      </c>
      <c r="D1265" t="s">
        <v>183</v>
      </c>
      <c r="E1265">
        <v>3.92</v>
      </c>
    </row>
    <row r="1266" spans="1:5" x14ac:dyDescent="0.3">
      <c r="A1266" t="s">
        <v>329</v>
      </c>
      <c r="B1266" t="s">
        <v>330</v>
      </c>
      <c r="C1266" s="1">
        <v>33239</v>
      </c>
      <c r="D1266" t="s">
        <v>183</v>
      </c>
      <c r="E1266">
        <v>-22.1</v>
      </c>
    </row>
    <row r="1267" spans="1:5" hidden="1" x14ac:dyDescent="0.3">
      <c r="A1267" t="s">
        <v>335</v>
      </c>
      <c r="B1267" t="s">
        <v>336</v>
      </c>
      <c r="C1267" s="1">
        <v>33239</v>
      </c>
      <c r="D1267" t="s">
        <v>183</v>
      </c>
      <c r="E1267">
        <v>-17.86</v>
      </c>
    </row>
    <row r="1268" spans="1:5" hidden="1" x14ac:dyDescent="0.3">
      <c r="A1268" t="s">
        <v>337</v>
      </c>
      <c r="B1268" t="s">
        <v>338</v>
      </c>
      <c r="C1268" s="1">
        <v>33239</v>
      </c>
      <c r="D1268" t="s">
        <v>183</v>
      </c>
      <c r="E1268">
        <v>-0.57999999999999996</v>
      </c>
    </row>
    <row r="1269" spans="1:5" hidden="1" x14ac:dyDescent="0.3">
      <c r="A1269" t="s">
        <v>371</v>
      </c>
      <c r="B1269" t="s">
        <v>372</v>
      </c>
      <c r="C1269" s="1">
        <v>33239</v>
      </c>
      <c r="D1269" t="s">
        <v>183</v>
      </c>
      <c r="E1269">
        <v>24.53</v>
      </c>
    </row>
    <row r="1270" spans="1:5" hidden="1" x14ac:dyDescent="0.3">
      <c r="A1270" t="s">
        <v>5</v>
      </c>
      <c r="B1270" t="s">
        <v>6</v>
      </c>
      <c r="C1270" s="1">
        <v>33147</v>
      </c>
      <c r="D1270" t="s">
        <v>182</v>
      </c>
      <c r="E1270">
        <v>0.6</v>
      </c>
    </row>
    <row r="1271" spans="1:5" hidden="1" x14ac:dyDescent="0.3">
      <c r="A1271" t="s">
        <v>325</v>
      </c>
      <c r="B1271" t="s">
        <v>326</v>
      </c>
      <c r="C1271" s="1">
        <v>33147</v>
      </c>
      <c r="D1271" t="s">
        <v>182</v>
      </c>
      <c r="E1271">
        <v>5.31</v>
      </c>
    </row>
    <row r="1272" spans="1:5" hidden="1" x14ac:dyDescent="0.3">
      <c r="A1272" t="s">
        <v>327</v>
      </c>
      <c r="B1272" t="s">
        <v>328</v>
      </c>
      <c r="C1272" s="1">
        <v>33147</v>
      </c>
      <c r="D1272" t="s">
        <v>182</v>
      </c>
      <c r="E1272">
        <v>3.61</v>
      </c>
    </row>
    <row r="1273" spans="1:5" x14ac:dyDescent="0.3">
      <c r="A1273" t="s">
        <v>329</v>
      </c>
      <c r="B1273" t="s">
        <v>330</v>
      </c>
      <c r="C1273" s="1">
        <v>33147</v>
      </c>
      <c r="D1273" t="s">
        <v>182</v>
      </c>
      <c r="E1273">
        <v>-10.1</v>
      </c>
    </row>
    <row r="1274" spans="1:5" hidden="1" x14ac:dyDescent="0.3">
      <c r="A1274" t="s">
        <v>335</v>
      </c>
      <c r="B1274" t="s">
        <v>336</v>
      </c>
      <c r="C1274" s="1">
        <v>33147</v>
      </c>
      <c r="D1274" t="s">
        <v>182</v>
      </c>
      <c r="E1274">
        <v>-29.02</v>
      </c>
    </row>
    <row r="1275" spans="1:5" hidden="1" x14ac:dyDescent="0.3">
      <c r="A1275" t="s">
        <v>337</v>
      </c>
      <c r="B1275" t="s">
        <v>338</v>
      </c>
      <c r="C1275" s="1">
        <v>33147</v>
      </c>
      <c r="D1275" t="s">
        <v>182</v>
      </c>
      <c r="E1275">
        <v>0.52</v>
      </c>
    </row>
    <row r="1276" spans="1:5" hidden="1" x14ac:dyDescent="0.3">
      <c r="A1276" t="s">
        <v>371</v>
      </c>
      <c r="B1276" t="s">
        <v>372</v>
      </c>
      <c r="C1276" s="1">
        <v>33147</v>
      </c>
      <c r="D1276" t="s">
        <v>182</v>
      </c>
      <c r="E1276">
        <v>14.27</v>
      </c>
    </row>
    <row r="1277" spans="1:5" hidden="1" x14ac:dyDescent="0.3">
      <c r="A1277" t="s">
        <v>5</v>
      </c>
      <c r="B1277" t="s">
        <v>6</v>
      </c>
      <c r="C1277" s="1">
        <v>33055</v>
      </c>
      <c r="D1277" t="s">
        <v>181</v>
      </c>
      <c r="E1277">
        <v>1.73</v>
      </c>
    </row>
    <row r="1278" spans="1:5" hidden="1" x14ac:dyDescent="0.3">
      <c r="A1278" t="s">
        <v>325</v>
      </c>
      <c r="B1278" t="s">
        <v>326</v>
      </c>
      <c r="C1278" s="1">
        <v>33055</v>
      </c>
      <c r="D1278" t="s">
        <v>181</v>
      </c>
      <c r="E1278">
        <v>5.38</v>
      </c>
    </row>
    <row r="1279" spans="1:5" hidden="1" x14ac:dyDescent="0.3">
      <c r="A1279" t="s">
        <v>327</v>
      </c>
      <c r="B1279" t="s">
        <v>328</v>
      </c>
      <c r="C1279" s="1">
        <v>33055</v>
      </c>
      <c r="D1279" t="s">
        <v>181</v>
      </c>
      <c r="E1279">
        <v>3.67</v>
      </c>
    </row>
    <row r="1280" spans="1:5" x14ac:dyDescent="0.3">
      <c r="A1280" t="s">
        <v>329</v>
      </c>
      <c r="B1280" t="s">
        <v>330</v>
      </c>
      <c r="C1280" s="1">
        <v>33055</v>
      </c>
      <c r="D1280" t="s">
        <v>181</v>
      </c>
      <c r="E1280">
        <v>-10.16</v>
      </c>
    </row>
    <row r="1281" spans="1:5" hidden="1" x14ac:dyDescent="0.3">
      <c r="A1281" t="s">
        <v>335</v>
      </c>
      <c r="B1281" t="s">
        <v>336</v>
      </c>
      <c r="C1281" s="1">
        <v>33055</v>
      </c>
      <c r="D1281" t="s">
        <v>181</v>
      </c>
      <c r="E1281">
        <v>-14.42</v>
      </c>
    </row>
    <row r="1282" spans="1:5" hidden="1" x14ac:dyDescent="0.3">
      <c r="A1282" t="s">
        <v>337</v>
      </c>
      <c r="B1282" t="s">
        <v>338</v>
      </c>
      <c r="C1282" s="1">
        <v>33055</v>
      </c>
      <c r="D1282" t="s">
        <v>181</v>
      </c>
      <c r="E1282">
        <v>1.35</v>
      </c>
    </row>
    <row r="1283" spans="1:5" hidden="1" x14ac:dyDescent="0.3">
      <c r="A1283" t="s">
        <v>371</v>
      </c>
      <c r="B1283" t="s">
        <v>372</v>
      </c>
      <c r="C1283" s="1">
        <v>33055</v>
      </c>
      <c r="D1283" t="s">
        <v>181</v>
      </c>
      <c r="E1283">
        <v>8.92</v>
      </c>
    </row>
    <row r="1284" spans="1:5" hidden="1" x14ac:dyDescent="0.3">
      <c r="A1284" t="s">
        <v>5</v>
      </c>
      <c r="B1284" t="s">
        <v>6</v>
      </c>
      <c r="C1284" s="1">
        <v>32964</v>
      </c>
      <c r="D1284" t="s">
        <v>180</v>
      </c>
      <c r="E1284">
        <v>2.41</v>
      </c>
    </row>
    <row r="1285" spans="1:5" hidden="1" x14ac:dyDescent="0.3">
      <c r="A1285" t="s">
        <v>325</v>
      </c>
      <c r="B1285" t="s">
        <v>326</v>
      </c>
      <c r="C1285" s="1">
        <v>32964</v>
      </c>
      <c r="D1285" t="s">
        <v>180</v>
      </c>
      <c r="E1285">
        <v>4.83</v>
      </c>
    </row>
    <row r="1286" spans="1:5" hidden="1" x14ac:dyDescent="0.3">
      <c r="A1286" t="s">
        <v>327</v>
      </c>
      <c r="B1286" t="s">
        <v>328</v>
      </c>
      <c r="C1286" s="1">
        <v>32964</v>
      </c>
      <c r="D1286" t="s">
        <v>180</v>
      </c>
      <c r="E1286">
        <v>3.65</v>
      </c>
    </row>
    <row r="1287" spans="1:5" x14ac:dyDescent="0.3">
      <c r="A1287" t="s">
        <v>329</v>
      </c>
      <c r="B1287" t="s">
        <v>330</v>
      </c>
      <c r="C1287" s="1">
        <v>32964</v>
      </c>
      <c r="D1287" t="s">
        <v>180</v>
      </c>
      <c r="E1287">
        <v>-15.26</v>
      </c>
    </row>
    <row r="1288" spans="1:5" hidden="1" x14ac:dyDescent="0.3">
      <c r="A1288" t="s">
        <v>335</v>
      </c>
      <c r="B1288" t="s">
        <v>336</v>
      </c>
      <c r="C1288" s="1">
        <v>32964</v>
      </c>
      <c r="D1288" t="s">
        <v>180</v>
      </c>
      <c r="E1288">
        <v>0</v>
      </c>
    </row>
    <row r="1289" spans="1:5" hidden="1" x14ac:dyDescent="0.3">
      <c r="A1289" t="s">
        <v>337</v>
      </c>
      <c r="B1289" t="s">
        <v>338</v>
      </c>
      <c r="C1289" s="1">
        <v>32964</v>
      </c>
      <c r="D1289" t="s">
        <v>180</v>
      </c>
      <c r="E1289">
        <v>1.74</v>
      </c>
    </row>
    <row r="1290" spans="1:5" hidden="1" x14ac:dyDescent="0.3">
      <c r="A1290" t="s">
        <v>371</v>
      </c>
      <c r="B1290" t="s">
        <v>372</v>
      </c>
      <c r="C1290" s="1">
        <v>32964</v>
      </c>
      <c r="D1290" t="s">
        <v>180</v>
      </c>
      <c r="E1290">
        <v>1.91</v>
      </c>
    </row>
    <row r="1291" spans="1:5" hidden="1" x14ac:dyDescent="0.3">
      <c r="A1291" t="s">
        <v>5</v>
      </c>
      <c r="B1291" t="s">
        <v>6</v>
      </c>
      <c r="C1291" s="1">
        <v>32874</v>
      </c>
      <c r="D1291" t="s">
        <v>179</v>
      </c>
      <c r="E1291">
        <v>2.82</v>
      </c>
    </row>
    <row r="1292" spans="1:5" hidden="1" x14ac:dyDescent="0.3">
      <c r="A1292" t="s">
        <v>325</v>
      </c>
      <c r="B1292" t="s">
        <v>326</v>
      </c>
      <c r="C1292" s="1">
        <v>32874</v>
      </c>
      <c r="D1292" t="s">
        <v>179</v>
      </c>
      <c r="E1292">
        <v>4.5999999999999996</v>
      </c>
    </row>
    <row r="1293" spans="1:5" hidden="1" x14ac:dyDescent="0.3">
      <c r="A1293" t="s">
        <v>327</v>
      </c>
      <c r="B1293" t="s">
        <v>328</v>
      </c>
      <c r="C1293" s="1">
        <v>32874</v>
      </c>
      <c r="D1293" t="s">
        <v>179</v>
      </c>
      <c r="E1293">
        <v>3.77</v>
      </c>
    </row>
    <row r="1294" spans="1:5" x14ac:dyDescent="0.3">
      <c r="A1294" t="s">
        <v>329</v>
      </c>
      <c r="B1294" t="s">
        <v>330</v>
      </c>
      <c r="C1294" s="1">
        <v>32874</v>
      </c>
      <c r="D1294" t="s">
        <v>179</v>
      </c>
      <c r="E1294">
        <v>-12.63</v>
      </c>
    </row>
    <row r="1295" spans="1:5" hidden="1" x14ac:dyDescent="0.3">
      <c r="A1295" t="s">
        <v>335</v>
      </c>
      <c r="B1295" t="s">
        <v>336</v>
      </c>
      <c r="C1295" s="1">
        <v>32874</v>
      </c>
      <c r="D1295" t="s">
        <v>179</v>
      </c>
      <c r="E1295">
        <v>-4.8</v>
      </c>
    </row>
    <row r="1296" spans="1:5" hidden="1" x14ac:dyDescent="0.3">
      <c r="A1296" t="s">
        <v>337</v>
      </c>
      <c r="B1296" t="s">
        <v>338</v>
      </c>
      <c r="C1296" s="1">
        <v>32874</v>
      </c>
      <c r="D1296" t="s">
        <v>179</v>
      </c>
      <c r="E1296">
        <v>1.88</v>
      </c>
    </row>
    <row r="1297" spans="1:5" hidden="1" x14ac:dyDescent="0.3">
      <c r="A1297" t="s">
        <v>371</v>
      </c>
      <c r="B1297" t="s">
        <v>372</v>
      </c>
      <c r="C1297" s="1">
        <v>32874</v>
      </c>
      <c r="D1297" t="s">
        <v>179</v>
      </c>
      <c r="E1297">
        <v>1.92</v>
      </c>
    </row>
    <row r="1298" spans="1:5" hidden="1" x14ac:dyDescent="0.3">
      <c r="A1298" t="s">
        <v>5</v>
      </c>
      <c r="B1298" t="s">
        <v>6</v>
      </c>
      <c r="C1298" s="1">
        <v>32782</v>
      </c>
      <c r="D1298" t="s">
        <v>178</v>
      </c>
      <c r="E1298">
        <v>2.74</v>
      </c>
    </row>
    <row r="1299" spans="1:5" hidden="1" x14ac:dyDescent="0.3">
      <c r="A1299" t="s">
        <v>325</v>
      </c>
      <c r="B1299" t="s">
        <v>326</v>
      </c>
      <c r="C1299" s="1">
        <v>32782</v>
      </c>
      <c r="D1299" t="s">
        <v>178</v>
      </c>
      <c r="E1299">
        <v>4.38</v>
      </c>
    </row>
    <row r="1300" spans="1:5" hidden="1" x14ac:dyDescent="0.3">
      <c r="A1300" t="s">
        <v>327</v>
      </c>
      <c r="B1300" t="s">
        <v>328</v>
      </c>
      <c r="C1300" s="1">
        <v>32782</v>
      </c>
      <c r="D1300" t="s">
        <v>178</v>
      </c>
      <c r="E1300">
        <v>4.29</v>
      </c>
    </row>
    <row r="1301" spans="1:5" x14ac:dyDescent="0.3">
      <c r="A1301" t="s">
        <v>329</v>
      </c>
      <c r="B1301" t="s">
        <v>330</v>
      </c>
      <c r="C1301" s="1">
        <v>32782</v>
      </c>
      <c r="D1301" t="s">
        <v>178</v>
      </c>
      <c r="E1301">
        <v>1.69</v>
      </c>
    </row>
    <row r="1302" spans="1:5" hidden="1" x14ac:dyDescent="0.3">
      <c r="A1302" t="s">
        <v>335</v>
      </c>
      <c r="B1302" t="s">
        <v>336</v>
      </c>
      <c r="C1302" s="1">
        <v>32782</v>
      </c>
      <c r="D1302" t="s">
        <v>178</v>
      </c>
      <c r="E1302">
        <v>-1.33</v>
      </c>
    </row>
    <row r="1303" spans="1:5" hidden="1" x14ac:dyDescent="0.3">
      <c r="A1303" t="s">
        <v>337</v>
      </c>
      <c r="B1303" t="s">
        <v>338</v>
      </c>
      <c r="C1303" s="1">
        <v>32782</v>
      </c>
      <c r="D1303" t="s">
        <v>178</v>
      </c>
      <c r="E1303">
        <v>1.96</v>
      </c>
    </row>
    <row r="1304" spans="1:5" hidden="1" x14ac:dyDescent="0.3">
      <c r="A1304" t="s">
        <v>371</v>
      </c>
      <c r="B1304" t="s">
        <v>372</v>
      </c>
      <c r="C1304" s="1">
        <v>32782</v>
      </c>
      <c r="D1304" t="s">
        <v>178</v>
      </c>
      <c r="E1304">
        <v>0.64</v>
      </c>
    </row>
    <row r="1305" spans="1:5" hidden="1" x14ac:dyDescent="0.3">
      <c r="A1305" t="s">
        <v>5</v>
      </c>
      <c r="B1305" t="s">
        <v>6</v>
      </c>
      <c r="C1305" s="1">
        <v>32690</v>
      </c>
      <c r="D1305" t="s">
        <v>177</v>
      </c>
      <c r="E1305">
        <v>3.91</v>
      </c>
    </row>
    <row r="1306" spans="1:5" hidden="1" x14ac:dyDescent="0.3">
      <c r="A1306" t="s">
        <v>325</v>
      </c>
      <c r="B1306" t="s">
        <v>326</v>
      </c>
      <c r="C1306" s="1">
        <v>32690</v>
      </c>
      <c r="D1306" t="s">
        <v>177</v>
      </c>
      <c r="E1306">
        <v>4.38</v>
      </c>
    </row>
    <row r="1307" spans="1:5" hidden="1" x14ac:dyDescent="0.3">
      <c r="A1307" t="s">
        <v>327</v>
      </c>
      <c r="B1307" t="s">
        <v>328</v>
      </c>
      <c r="C1307" s="1">
        <v>32690</v>
      </c>
      <c r="D1307" t="s">
        <v>177</v>
      </c>
      <c r="E1307">
        <v>4.22</v>
      </c>
    </row>
    <row r="1308" spans="1:5" x14ac:dyDescent="0.3">
      <c r="A1308" t="s">
        <v>329</v>
      </c>
      <c r="B1308" t="s">
        <v>330</v>
      </c>
      <c r="C1308" s="1">
        <v>32690</v>
      </c>
      <c r="D1308" t="s">
        <v>177</v>
      </c>
      <c r="E1308">
        <v>13.78</v>
      </c>
    </row>
    <row r="1309" spans="1:5" hidden="1" x14ac:dyDescent="0.3">
      <c r="A1309" t="s">
        <v>335</v>
      </c>
      <c r="B1309" t="s">
        <v>336</v>
      </c>
      <c r="C1309" s="1">
        <v>32690</v>
      </c>
      <c r="D1309" t="s">
        <v>177</v>
      </c>
      <c r="E1309">
        <v>-3.71</v>
      </c>
    </row>
    <row r="1310" spans="1:5" hidden="1" x14ac:dyDescent="0.3">
      <c r="A1310" t="s">
        <v>337</v>
      </c>
      <c r="B1310" t="s">
        <v>338</v>
      </c>
      <c r="C1310" s="1">
        <v>32690</v>
      </c>
      <c r="D1310" t="s">
        <v>177</v>
      </c>
      <c r="E1310">
        <v>2.31</v>
      </c>
    </row>
    <row r="1311" spans="1:5" hidden="1" x14ac:dyDescent="0.3">
      <c r="A1311" t="s">
        <v>371</v>
      </c>
      <c r="B1311" t="s">
        <v>372</v>
      </c>
      <c r="C1311" s="1">
        <v>32690</v>
      </c>
      <c r="D1311" t="s">
        <v>177</v>
      </c>
      <c r="E1311">
        <v>-4.28</v>
      </c>
    </row>
    <row r="1312" spans="1:5" hidden="1" x14ac:dyDescent="0.3">
      <c r="A1312" t="s">
        <v>5</v>
      </c>
      <c r="B1312" t="s">
        <v>6</v>
      </c>
      <c r="C1312" s="1">
        <v>32599</v>
      </c>
      <c r="D1312" t="s">
        <v>176</v>
      </c>
      <c r="E1312">
        <v>3.75</v>
      </c>
    </row>
    <row r="1313" spans="1:5" hidden="1" x14ac:dyDescent="0.3">
      <c r="A1313" t="s">
        <v>325</v>
      </c>
      <c r="B1313" t="s">
        <v>326</v>
      </c>
      <c r="C1313" s="1">
        <v>32599</v>
      </c>
      <c r="D1313" t="s">
        <v>176</v>
      </c>
      <c r="E1313">
        <v>4.54</v>
      </c>
    </row>
    <row r="1314" spans="1:5" hidden="1" x14ac:dyDescent="0.3">
      <c r="A1314" t="s">
        <v>327</v>
      </c>
      <c r="B1314" t="s">
        <v>328</v>
      </c>
      <c r="C1314" s="1">
        <v>32599</v>
      </c>
      <c r="D1314" t="s">
        <v>176</v>
      </c>
      <c r="E1314">
        <v>4.5599999999999996</v>
      </c>
    </row>
    <row r="1315" spans="1:5" x14ac:dyDescent="0.3">
      <c r="A1315" t="s">
        <v>329</v>
      </c>
      <c r="B1315" t="s">
        <v>330</v>
      </c>
      <c r="C1315" s="1">
        <v>32599</v>
      </c>
      <c r="D1315" t="s">
        <v>176</v>
      </c>
      <c r="E1315">
        <v>35.909999999999997</v>
      </c>
    </row>
    <row r="1316" spans="1:5" hidden="1" x14ac:dyDescent="0.3">
      <c r="A1316" t="s">
        <v>335</v>
      </c>
      <c r="B1316" t="s">
        <v>336</v>
      </c>
      <c r="C1316" s="1">
        <v>32599</v>
      </c>
      <c r="D1316" t="s">
        <v>176</v>
      </c>
      <c r="E1316">
        <v>-2.82</v>
      </c>
    </row>
    <row r="1317" spans="1:5" hidden="1" x14ac:dyDescent="0.3">
      <c r="A1317" t="s">
        <v>337</v>
      </c>
      <c r="B1317" t="s">
        <v>338</v>
      </c>
      <c r="C1317" s="1">
        <v>32599</v>
      </c>
      <c r="D1317" t="s">
        <v>176</v>
      </c>
      <c r="E1317">
        <v>2.77</v>
      </c>
    </row>
    <row r="1318" spans="1:5" hidden="1" x14ac:dyDescent="0.3">
      <c r="A1318" t="s">
        <v>371</v>
      </c>
      <c r="B1318" t="s">
        <v>372</v>
      </c>
      <c r="C1318" s="1">
        <v>32599</v>
      </c>
      <c r="D1318" t="s">
        <v>176</v>
      </c>
      <c r="E1318">
        <v>-4.28</v>
      </c>
    </row>
    <row r="1319" spans="1:5" hidden="1" x14ac:dyDescent="0.3">
      <c r="A1319" t="s">
        <v>5</v>
      </c>
      <c r="B1319" t="s">
        <v>6</v>
      </c>
      <c r="C1319" s="1">
        <v>32509</v>
      </c>
      <c r="D1319" t="s">
        <v>175</v>
      </c>
      <c r="E1319">
        <v>4.32</v>
      </c>
    </row>
    <row r="1320" spans="1:5" hidden="1" x14ac:dyDescent="0.3">
      <c r="A1320" t="s">
        <v>325</v>
      </c>
      <c r="B1320" t="s">
        <v>326</v>
      </c>
      <c r="C1320" s="1">
        <v>32509</v>
      </c>
      <c r="D1320" t="s">
        <v>175</v>
      </c>
      <c r="E1320">
        <v>4.67</v>
      </c>
    </row>
    <row r="1321" spans="1:5" hidden="1" x14ac:dyDescent="0.3">
      <c r="A1321" t="s">
        <v>327</v>
      </c>
      <c r="B1321" t="s">
        <v>328</v>
      </c>
      <c r="C1321" s="1">
        <v>32509</v>
      </c>
      <c r="D1321" t="s">
        <v>175</v>
      </c>
      <c r="E1321">
        <v>4.3899999999999997</v>
      </c>
    </row>
    <row r="1322" spans="1:5" x14ac:dyDescent="0.3">
      <c r="A1322" t="s">
        <v>329</v>
      </c>
      <c r="B1322" t="s">
        <v>330</v>
      </c>
      <c r="C1322" s="1">
        <v>32509</v>
      </c>
      <c r="D1322" t="s">
        <v>175</v>
      </c>
      <c r="E1322">
        <v>41.72</v>
      </c>
    </row>
    <row r="1323" spans="1:5" hidden="1" x14ac:dyDescent="0.3">
      <c r="A1323" t="s">
        <v>335</v>
      </c>
      <c r="B1323" t="s">
        <v>336</v>
      </c>
      <c r="C1323" s="1">
        <v>32509</v>
      </c>
      <c r="D1323" t="s">
        <v>175</v>
      </c>
      <c r="E1323">
        <v>3.83</v>
      </c>
    </row>
    <row r="1324" spans="1:5" hidden="1" x14ac:dyDescent="0.3">
      <c r="A1324" t="s">
        <v>337</v>
      </c>
      <c r="B1324" t="s">
        <v>338</v>
      </c>
      <c r="C1324" s="1">
        <v>32509</v>
      </c>
      <c r="D1324" t="s">
        <v>175</v>
      </c>
      <c r="E1324">
        <v>3.12</v>
      </c>
    </row>
    <row r="1325" spans="1:5" hidden="1" x14ac:dyDescent="0.3">
      <c r="A1325" t="s">
        <v>371</v>
      </c>
      <c r="B1325" t="s">
        <v>372</v>
      </c>
      <c r="C1325" s="1">
        <v>32509</v>
      </c>
      <c r="D1325" t="s">
        <v>175</v>
      </c>
      <c r="E1325">
        <v>-8.77</v>
      </c>
    </row>
    <row r="1326" spans="1:5" hidden="1" x14ac:dyDescent="0.3">
      <c r="A1326" t="s">
        <v>5</v>
      </c>
      <c r="B1326" t="s">
        <v>6</v>
      </c>
      <c r="C1326" s="1">
        <v>32417</v>
      </c>
      <c r="D1326" t="s">
        <v>174</v>
      </c>
      <c r="E1326">
        <v>3.8</v>
      </c>
    </row>
    <row r="1327" spans="1:5" hidden="1" x14ac:dyDescent="0.3">
      <c r="A1327" t="s">
        <v>325</v>
      </c>
      <c r="B1327" t="s">
        <v>326</v>
      </c>
      <c r="C1327" s="1">
        <v>32417</v>
      </c>
      <c r="D1327" t="s">
        <v>174</v>
      </c>
      <c r="E1327">
        <v>4.58</v>
      </c>
    </row>
    <row r="1328" spans="1:5" hidden="1" x14ac:dyDescent="0.3">
      <c r="A1328" t="s">
        <v>327</v>
      </c>
      <c r="B1328" t="s">
        <v>328</v>
      </c>
      <c r="C1328" s="1">
        <v>32417</v>
      </c>
      <c r="D1328" t="s">
        <v>174</v>
      </c>
      <c r="E1328">
        <v>4.03</v>
      </c>
    </row>
    <row r="1329" spans="1:5" x14ac:dyDescent="0.3">
      <c r="A1329" t="s">
        <v>329</v>
      </c>
      <c r="B1329" t="s">
        <v>330</v>
      </c>
      <c r="C1329" s="1">
        <v>32417</v>
      </c>
      <c r="D1329" t="s">
        <v>174</v>
      </c>
      <c r="E1329">
        <v>22.45</v>
      </c>
    </row>
    <row r="1330" spans="1:5" hidden="1" x14ac:dyDescent="0.3">
      <c r="A1330" t="s">
        <v>335</v>
      </c>
      <c r="B1330" t="s">
        <v>336</v>
      </c>
      <c r="C1330" s="1">
        <v>32417</v>
      </c>
      <c r="D1330" t="s">
        <v>174</v>
      </c>
      <c r="E1330">
        <v>7.64</v>
      </c>
    </row>
    <row r="1331" spans="1:5" hidden="1" x14ac:dyDescent="0.3">
      <c r="A1331" t="s">
        <v>337</v>
      </c>
      <c r="B1331" t="s">
        <v>338</v>
      </c>
      <c r="C1331" s="1">
        <v>32417</v>
      </c>
      <c r="D1331" t="s">
        <v>174</v>
      </c>
      <c r="E1331">
        <v>3.1</v>
      </c>
    </row>
    <row r="1332" spans="1:5" hidden="1" x14ac:dyDescent="0.3">
      <c r="A1332" t="s">
        <v>371</v>
      </c>
      <c r="B1332" t="s">
        <v>372</v>
      </c>
      <c r="C1332" s="1">
        <v>32417</v>
      </c>
      <c r="D1332" t="s">
        <v>174</v>
      </c>
      <c r="E1332">
        <v>-8.57</v>
      </c>
    </row>
    <row r="1333" spans="1:5" hidden="1" x14ac:dyDescent="0.3">
      <c r="A1333" t="s">
        <v>5</v>
      </c>
      <c r="B1333" t="s">
        <v>6</v>
      </c>
      <c r="C1333" s="1">
        <v>32325</v>
      </c>
      <c r="D1333" t="s">
        <v>173</v>
      </c>
      <c r="E1333">
        <v>4.1900000000000004</v>
      </c>
    </row>
    <row r="1334" spans="1:5" hidden="1" x14ac:dyDescent="0.3">
      <c r="A1334" t="s">
        <v>325</v>
      </c>
      <c r="B1334" t="s">
        <v>326</v>
      </c>
      <c r="C1334" s="1">
        <v>32325</v>
      </c>
      <c r="D1334" t="s">
        <v>173</v>
      </c>
      <c r="E1334">
        <v>4.5199999999999996</v>
      </c>
    </row>
    <row r="1335" spans="1:5" hidden="1" x14ac:dyDescent="0.3">
      <c r="A1335" t="s">
        <v>327</v>
      </c>
      <c r="B1335" t="s">
        <v>328</v>
      </c>
      <c r="C1335" s="1">
        <v>32325</v>
      </c>
      <c r="D1335" t="s">
        <v>173</v>
      </c>
      <c r="E1335">
        <v>3.58</v>
      </c>
    </row>
    <row r="1336" spans="1:5" x14ac:dyDescent="0.3">
      <c r="A1336" t="s">
        <v>329</v>
      </c>
      <c r="B1336" t="s">
        <v>330</v>
      </c>
      <c r="C1336" s="1">
        <v>32325</v>
      </c>
      <c r="D1336" t="s">
        <v>173</v>
      </c>
      <c r="E1336">
        <v>16.66</v>
      </c>
    </row>
    <row r="1337" spans="1:5" hidden="1" x14ac:dyDescent="0.3">
      <c r="A1337" t="s">
        <v>335</v>
      </c>
      <c r="B1337" t="s">
        <v>336</v>
      </c>
      <c r="C1337" s="1">
        <v>32325</v>
      </c>
      <c r="D1337" t="s">
        <v>173</v>
      </c>
      <c r="E1337">
        <v>2.27</v>
      </c>
    </row>
    <row r="1338" spans="1:5" hidden="1" x14ac:dyDescent="0.3">
      <c r="A1338" t="s">
        <v>337</v>
      </c>
      <c r="B1338" t="s">
        <v>338</v>
      </c>
      <c r="C1338" s="1">
        <v>32325</v>
      </c>
      <c r="D1338" t="s">
        <v>173</v>
      </c>
      <c r="E1338">
        <v>3.23</v>
      </c>
    </row>
    <row r="1339" spans="1:5" hidden="1" x14ac:dyDescent="0.3">
      <c r="A1339" t="s">
        <v>371</v>
      </c>
      <c r="B1339" t="s">
        <v>372</v>
      </c>
      <c r="C1339" s="1">
        <v>32325</v>
      </c>
      <c r="D1339" t="s">
        <v>173</v>
      </c>
      <c r="E1339">
        <v>-8.8800000000000008</v>
      </c>
    </row>
    <row r="1340" spans="1:5" hidden="1" x14ac:dyDescent="0.3">
      <c r="A1340" t="s">
        <v>5</v>
      </c>
      <c r="B1340" t="s">
        <v>6</v>
      </c>
      <c r="C1340" s="1">
        <v>32234</v>
      </c>
      <c r="D1340" t="s">
        <v>172</v>
      </c>
      <c r="E1340">
        <v>4.4800000000000004</v>
      </c>
    </row>
    <row r="1341" spans="1:5" hidden="1" x14ac:dyDescent="0.3">
      <c r="A1341" t="s">
        <v>325</v>
      </c>
      <c r="B1341" t="s">
        <v>326</v>
      </c>
      <c r="C1341" s="1">
        <v>32234</v>
      </c>
      <c r="D1341" t="s">
        <v>172</v>
      </c>
      <c r="E1341">
        <v>4.34</v>
      </c>
    </row>
    <row r="1342" spans="1:5" hidden="1" x14ac:dyDescent="0.3">
      <c r="A1342" t="s">
        <v>327</v>
      </c>
      <c r="B1342" t="s">
        <v>328</v>
      </c>
      <c r="C1342" s="1">
        <v>32234</v>
      </c>
      <c r="D1342" t="s">
        <v>172</v>
      </c>
      <c r="E1342">
        <v>2.86</v>
      </c>
    </row>
    <row r="1343" spans="1:5" x14ac:dyDescent="0.3">
      <c r="A1343" t="s">
        <v>329</v>
      </c>
      <c r="B1343" t="s">
        <v>330</v>
      </c>
      <c r="C1343" s="1">
        <v>32234</v>
      </c>
      <c r="D1343" t="s">
        <v>172</v>
      </c>
      <c r="E1343">
        <v>7.62</v>
      </c>
    </row>
    <row r="1344" spans="1:5" hidden="1" x14ac:dyDescent="0.3">
      <c r="A1344" t="s">
        <v>335</v>
      </c>
      <c r="B1344" t="s">
        <v>336</v>
      </c>
      <c r="C1344" s="1">
        <v>32234</v>
      </c>
      <c r="D1344" t="s">
        <v>172</v>
      </c>
      <c r="E1344">
        <v>1.92</v>
      </c>
    </row>
    <row r="1345" spans="1:5" hidden="1" x14ac:dyDescent="0.3">
      <c r="A1345" t="s">
        <v>337</v>
      </c>
      <c r="B1345" t="s">
        <v>338</v>
      </c>
      <c r="C1345" s="1">
        <v>32234</v>
      </c>
      <c r="D1345" t="s">
        <v>172</v>
      </c>
      <c r="E1345">
        <v>3.24</v>
      </c>
    </row>
    <row r="1346" spans="1:5" hidden="1" x14ac:dyDescent="0.3">
      <c r="A1346" t="s">
        <v>371</v>
      </c>
      <c r="B1346" t="s">
        <v>372</v>
      </c>
      <c r="C1346" s="1">
        <v>32234</v>
      </c>
      <c r="D1346" t="s">
        <v>172</v>
      </c>
      <c r="E1346">
        <v>-12.77</v>
      </c>
    </row>
    <row r="1347" spans="1:5" hidden="1" x14ac:dyDescent="0.3">
      <c r="A1347" t="s">
        <v>5</v>
      </c>
      <c r="B1347" t="s">
        <v>6</v>
      </c>
      <c r="C1347" s="1">
        <v>32143</v>
      </c>
      <c r="D1347" t="s">
        <v>171</v>
      </c>
      <c r="E1347">
        <v>4.24</v>
      </c>
    </row>
    <row r="1348" spans="1:5" hidden="1" x14ac:dyDescent="0.3">
      <c r="A1348" t="s">
        <v>325</v>
      </c>
      <c r="B1348" t="s">
        <v>326</v>
      </c>
      <c r="C1348" s="1">
        <v>32143</v>
      </c>
      <c r="D1348" t="s">
        <v>171</v>
      </c>
      <c r="E1348">
        <v>4.33</v>
      </c>
    </row>
    <row r="1349" spans="1:5" hidden="1" x14ac:dyDescent="0.3">
      <c r="A1349" t="s">
        <v>327</v>
      </c>
      <c r="B1349" t="s">
        <v>328</v>
      </c>
      <c r="C1349" s="1">
        <v>32143</v>
      </c>
      <c r="D1349" t="s">
        <v>171</v>
      </c>
      <c r="E1349">
        <v>2.58</v>
      </c>
    </row>
    <row r="1350" spans="1:5" x14ac:dyDescent="0.3">
      <c r="A1350" t="s">
        <v>329</v>
      </c>
      <c r="B1350" t="s">
        <v>330</v>
      </c>
      <c r="C1350" s="1">
        <v>32143</v>
      </c>
      <c r="D1350" t="s">
        <v>171</v>
      </c>
      <c r="E1350">
        <v>7.12</v>
      </c>
    </row>
    <row r="1351" spans="1:5" hidden="1" x14ac:dyDescent="0.3">
      <c r="A1351" t="s">
        <v>335</v>
      </c>
      <c r="B1351" t="s">
        <v>336</v>
      </c>
      <c r="C1351" s="1">
        <v>32143</v>
      </c>
      <c r="D1351" t="s">
        <v>171</v>
      </c>
      <c r="E1351">
        <v>2.06</v>
      </c>
    </row>
    <row r="1352" spans="1:5" hidden="1" x14ac:dyDescent="0.3">
      <c r="A1352" t="s">
        <v>337</v>
      </c>
      <c r="B1352" t="s">
        <v>338</v>
      </c>
      <c r="C1352" s="1">
        <v>32143</v>
      </c>
      <c r="D1352" t="s">
        <v>171</v>
      </c>
      <c r="E1352">
        <v>3.2</v>
      </c>
    </row>
    <row r="1353" spans="1:5" hidden="1" x14ac:dyDescent="0.3">
      <c r="A1353" t="s">
        <v>371</v>
      </c>
      <c r="B1353" t="s">
        <v>372</v>
      </c>
      <c r="C1353" s="1">
        <v>32143</v>
      </c>
      <c r="D1353" t="s">
        <v>171</v>
      </c>
      <c r="E1353">
        <v>-13.64</v>
      </c>
    </row>
    <row r="1354" spans="1:5" hidden="1" x14ac:dyDescent="0.3">
      <c r="A1354" t="s">
        <v>5</v>
      </c>
      <c r="B1354" t="s">
        <v>6</v>
      </c>
      <c r="C1354" s="1">
        <v>32051</v>
      </c>
      <c r="D1354" t="s">
        <v>170</v>
      </c>
      <c r="E1354">
        <v>4.47</v>
      </c>
    </row>
    <row r="1355" spans="1:5" hidden="1" x14ac:dyDescent="0.3">
      <c r="A1355" t="s">
        <v>325</v>
      </c>
      <c r="B1355" t="s">
        <v>326</v>
      </c>
      <c r="C1355" s="1">
        <v>32051</v>
      </c>
      <c r="D1355" t="s">
        <v>170</v>
      </c>
      <c r="E1355">
        <v>4.16</v>
      </c>
    </row>
    <row r="1356" spans="1:5" hidden="1" x14ac:dyDescent="0.3">
      <c r="A1356" t="s">
        <v>327</v>
      </c>
      <c r="B1356" t="s">
        <v>328</v>
      </c>
      <c r="C1356" s="1">
        <v>32051</v>
      </c>
      <c r="D1356" t="s">
        <v>170</v>
      </c>
      <c r="E1356">
        <v>1.96</v>
      </c>
    </row>
    <row r="1357" spans="1:5" x14ac:dyDescent="0.3">
      <c r="A1357" t="s">
        <v>329</v>
      </c>
      <c r="B1357" t="s">
        <v>330</v>
      </c>
      <c r="C1357" s="1">
        <v>32051</v>
      </c>
      <c r="D1357" t="s">
        <v>170</v>
      </c>
      <c r="E1357">
        <v>10.37</v>
      </c>
    </row>
    <row r="1358" spans="1:5" hidden="1" x14ac:dyDescent="0.3">
      <c r="A1358" t="s">
        <v>335</v>
      </c>
      <c r="B1358" t="s">
        <v>336</v>
      </c>
      <c r="C1358" s="1">
        <v>32051</v>
      </c>
      <c r="D1358" t="s">
        <v>170</v>
      </c>
      <c r="E1358">
        <v>-6.12</v>
      </c>
    </row>
    <row r="1359" spans="1:5" hidden="1" x14ac:dyDescent="0.3">
      <c r="A1359" t="s">
        <v>337</v>
      </c>
      <c r="B1359" t="s">
        <v>338</v>
      </c>
      <c r="C1359" s="1">
        <v>32051</v>
      </c>
      <c r="D1359" t="s">
        <v>170</v>
      </c>
      <c r="E1359">
        <v>3.07</v>
      </c>
    </row>
    <row r="1360" spans="1:5" hidden="1" x14ac:dyDescent="0.3">
      <c r="A1360" t="s">
        <v>371</v>
      </c>
      <c r="B1360" t="s">
        <v>372</v>
      </c>
      <c r="C1360" s="1">
        <v>32051</v>
      </c>
      <c r="D1360" t="s">
        <v>170</v>
      </c>
      <c r="E1360">
        <v>-14.63</v>
      </c>
    </row>
    <row r="1361" spans="1:5" hidden="1" x14ac:dyDescent="0.3">
      <c r="A1361" t="s">
        <v>5</v>
      </c>
      <c r="B1361" t="s">
        <v>6</v>
      </c>
      <c r="C1361" s="1">
        <v>31959</v>
      </c>
      <c r="D1361" t="s">
        <v>169</v>
      </c>
      <c r="E1361">
        <v>3.26</v>
      </c>
    </row>
    <row r="1362" spans="1:5" hidden="1" x14ac:dyDescent="0.3">
      <c r="A1362" t="s">
        <v>325</v>
      </c>
      <c r="B1362" t="s">
        <v>326</v>
      </c>
      <c r="C1362" s="1">
        <v>31959</v>
      </c>
      <c r="D1362" t="s">
        <v>169</v>
      </c>
      <c r="E1362">
        <v>3.97</v>
      </c>
    </row>
    <row r="1363" spans="1:5" hidden="1" x14ac:dyDescent="0.3">
      <c r="A1363" t="s">
        <v>327</v>
      </c>
      <c r="B1363" t="s">
        <v>328</v>
      </c>
      <c r="C1363" s="1">
        <v>31959</v>
      </c>
      <c r="D1363" t="s">
        <v>169</v>
      </c>
      <c r="E1363">
        <v>2.59</v>
      </c>
    </row>
    <row r="1364" spans="1:5" x14ac:dyDescent="0.3">
      <c r="A1364" t="s">
        <v>329</v>
      </c>
      <c r="B1364" t="s">
        <v>330</v>
      </c>
      <c r="C1364" s="1">
        <v>31959</v>
      </c>
      <c r="D1364" t="s">
        <v>169</v>
      </c>
      <c r="E1364">
        <v>10.25</v>
      </c>
    </row>
    <row r="1365" spans="1:5" hidden="1" x14ac:dyDescent="0.3">
      <c r="A1365" t="s">
        <v>335</v>
      </c>
      <c r="B1365" t="s">
        <v>336</v>
      </c>
      <c r="C1365" s="1">
        <v>31959</v>
      </c>
      <c r="D1365" t="s">
        <v>169</v>
      </c>
      <c r="E1365">
        <v>-0.98</v>
      </c>
    </row>
    <row r="1366" spans="1:5" hidden="1" x14ac:dyDescent="0.3">
      <c r="A1366" t="s">
        <v>337</v>
      </c>
      <c r="B1366" t="s">
        <v>338</v>
      </c>
      <c r="C1366" s="1">
        <v>31959</v>
      </c>
      <c r="D1366" t="s">
        <v>169</v>
      </c>
      <c r="E1366">
        <v>2.78</v>
      </c>
    </row>
    <row r="1367" spans="1:5" hidden="1" x14ac:dyDescent="0.3">
      <c r="A1367" t="s">
        <v>371</v>
      </c>
      <c r="B1367" t="s">
        <v>372</v>
      </c>
      <c r="C1367" s="1">
        <v>31959</v>
      </c>
      <c r="D1367" t="s">
        <v>169</v>
      </c>
      <c r="E1367">
        <v>-13.88</v>
      </c>
    </row>
    <row r="1368" spans="1:5" hidden="1" x14ac:dyDescent="0.3">
      <c r="A1368" t="s">
        <v>5</v>
      </c>
      <c r="B1368" t="s">
        <v>6</v>
      </c>
      <c r="C1368" s="1">
        <v>31868</v>
      </c>
      <c r="D1368" t="s">
        <v>168</v>
      </c>
      <c r="E1368">
        <v>3.35</v>
      </c>
    </row>
    <row r="1369" spans="1:5" hidden="1" x14ac:dyDescent="0.3">
      <c r="A1369" t="s">
        <v>325</v>
      </c>
      <c r="B1369" t="s">
        <v>326</v>
      </c>
      <c r="C1369" s="1">
        <v>31868</v>
      </c>
      <c r="D1369" t="s">
        <v>168</v>
      </c>
      <c r="E1369">
        <v>3.98</v>
      </c>
    </row>
    <row r="1370" spans="1:5" hidden="1" x14ac:dyDescent="0.3">
      <c r="A1370" t="s">
        <v>327</v>
      </c>
      <c r="B1370" t="s">
        <v>328</v>
      </c>
      <c r="C1370" s="1">
        <v>31868</v>
      </c>
      <c r="D1370" t="s">
        <v>168</v>
      </c>
      <c r="E1370">
        <v>2.48</v>
      </c>
    </row>
    <row r="1371" spans="1:5" x14ac:dyDescent="0.3">
      <c r="A1371" t="s">
        <v>329</v>
      </c>
      <c r="B1371" t="s">
        <v>330</v>
      </c>
      <c r="C1371" s="1">
        <v>31868</v>
      </c>
      <c r="D1371" t="s">
        <v>168</v>
      </c>
      <c r="E1371">
        <v>-3.9</v>
      </c>
    </row>
    <row r="1372" spans="1:5" hidden="1" x14ac:dyDescent="0.3">
      <c r="A1372" t="s">
        <v>335</v>
      </c>
      <c r="B1372" t="s">
        <v>336</v>
      </c>
      <c r="C1372" s="1">
        <v>31868</v>
      </c>
      <c r="D1372" t="s">
        <v>168</v>
      </c>
      <c r="E1372">
        <v>-5.13</v>
      </c>
    </row>
    <row r="1373" spans="1:5" hidden="1" x14ac:dyDescent="0.3">
      <c r="A1373" t="s">
        <v>337</v>
      </c>
      <c r="B1373" t="s">
        <v>338</v>
      </c>
      <c r="C1373" s="1">
        <v>31868</v>
      </c>
      <c r="D1373" t="s">
        <v>168</v>
      </c>
      <c r="E1373">
        <v>2.56</v>
      </c>
    </row>
    <row r="1374" spans="1:5" hidden="1" x14ac:dyDescent="0.3">
      <c r="A1374" t="s">
        <v>371</v>
      </c>
      <c r="B1374" t="s">
        <v>372</v>
      </c>
      <c r="C1374" s="1">
        <v>31868</v>
      </c>
      <c r="D1374" t="s">
        <v>168</v>
      </c>
      <c r="E1374">
        <v>-12.56</v>
      </c>
    </row>
    <row r="1375" spans="1:5" hidden="1" x14ac:dyDescent="0.3">
      <c r="A1375" t="s">
        <v>5</v>
      </c>
      <c r="B1375" t="s">
        <v>6</v>
      </c>
      <c r="C1375" s="1">
        <v>31778</v>
      </c>
      <c r="D1375" t="s">
        <v>167</v>
      </c>
      <c r="E1375">
        <v>2.71</v>
      </c>
    </row>
    <row r="1376" spans="1:5" hidden="1" x14ac:dyDescent="0.3">
      <c r="A1376" t="s">
        <v>325</v>
      </c>
      <c r="B1376" t="s">
        <v>326</v>
      </c>
      <c r="C1376" s="1">
        <v>31778</v>
      </c>
      <c r="D1376" t="s">
        <v>167</v>
      </c>
      <c r="E1376">
        <v>3.59</v>
      </c>
    </row>
    <row r="1377" spans="1:5" hidden="1" x14ac:dyDescent="0.3">
      <c r="A1377" t="s">
        <v>327</v>
      </c>
      <c r="B1377" t="s">
        <v>328</v>
      </c>
      <c r="C1377" s="1">
        <v>31778</v>
      </c>
      <c r="D1377" t="s">
        <v>167</v>
      </c>
      <c r="E1377">
        <v>2.68</v>
      </c>
    </row>
    <row r="1378" spans="1:5" x14ac:dyDescent="0.3">
      <c r="A1378" t="s">
        <v>329</v>
      </c>
      <c r="B1378" t="s">
        <v>330</v>
      </c>
      <c r="C1378" s="1">
        <v>31778</v>
      </c>
      <c r="D1378" t="s">
        <v>167</v>
      </c>
      <c r="E1378">
        <v>-20.53</v>
      </c>
    </row>
    <row r="1379" spans="1:5" hidden="1" x14ac:dyDescent="0.3">
      <c r="A1379" t="s">
        <v>335</v>
      </c>
      <c r="B1379" t="s">
        <v>336</v>
      </c>
      <c r="C1379" s="1">
        <v>31778</v>
      </c>
      <c r="D1379" t="s">
        <v>167</v>
      </c>
      <c r="E1379">
        <v>-5.3</v>
      </c>
    </row>
    <row r="1380" spans="1:5" hidden="1" x14ac:dyDescent="0.3">
      <c r="A1380" t="s">
        <v>337</v>
      </c>
      <c r="B1380" t="s">
        <v>338</v>
      </c>
      <c r="C1380" s="1">
        <v>31778</v>
      </c>
      <c r="D1380" t="s">
        <v>167</v>
      </c>
      <c r="E1380">
        <v>2.11</v>
      </c>
    </row>
    <row r="1381" spans="1:5" hidden="1" x14ac:dyDescent="0.3">
      <c r="A1381" t="s">
        <v>371</v>
      </c>
      <c r="B1381" t="s">
        <v>372</v>
      </c>
      <c r="C1381" s="1">
        <v>31778</v>
      </c>
      <c r="D1381" t="s">
        <v>167</v>
      </c>
      <c r="E1381">
        <v>-6.16</v>
      </c>
    </row>
    <row r="1382" spans="1:5" hidden="1" x14ac:dyDescent="0.3">
      <c r="A1382" t="s">
        <v>5</v>
      </c>
      <c r="B1382" t="s">
        <v>6</v>
      </c>
      <c r="C1382" s="1">
        <v>31686</v>
      </c>
      <c r="D1382" t="s">
        <v>166</v>
      </c>
      <c r="E1382">
        <v>2.91</v>
      </c>
    </row>
    <row r="1383" spans="1:5" hidden="1" x14ac:dyDescent="0.3">
      <c r="A1383" t="s">
        <v>325</v>
      </c>
      <c r="B1383" t="s">
        <v>326</v>
      </c>
      <c r="C1383" s="1">
        <v>31686</v>
      </c>
      <c r="D1383" t="s">
        <v>166</v>
      </c>
      <c r="E1383">
        <v>3.87</v>
      </c>
    </row>
    <row r="1384" spans="1:5" hidden="1" x14ac:dyDescent="0.3">
      <c r="A1384" t="s">
        <v>327</v>
      </c>
      <c r="B1384" t="s">
        <v>328</v>
      </c>
      <c r="C1384" s="1">
        <v>31686</v>
      </c>
      <c r="D1384" t="s">
        <v>166</v>
      </c>
      <c r="E1384">
        <v>2.69</v>
      </c>
    </row>
    <row r="1385" spans="1:5" x14ac:dyDescent="0.3">
      <c r="A1385" t="s">
        <v>329</v>
      </c>
      <c r="B1385" t="s">
        <v>330</v>
      </c>
      <c r="C1385" s="1">
        <v>31686</v>
      </c>
      <c r="D1385" t="s">
        <v>166</v>
      </c>
      <c r="E1385">
        <v>-22.66</v>
      </c>
    </row>
    <row r="1386" spans="1:5" hidden="1" x14ac:dyDescent="0.3">
      <c r="A1386" t="s">
        <v>335</v>
      </c>
      <c r="B1386" t="s">
        <v>336</v>
      </c>
      <c r="C1386" s="1">
        <v>31686</v>
      </c>
      <c r="D1386" t="s">
        <v>166</v>
      </c>
      <c r="E1386">
        <v>1.06</v>
      </c>
    </row>
    <row r="1387" spans="1:5" hidden="1" x14ac:dyDescent="0.3">
      <c r="A1387" t="s">
        <v>337</v>
      </c>
      <c r="B1387" t="s">
        <v>338</v>
      </c>
      <c r="C1387" s="1">
        <v>31686</v>
      </c>
      <c r="D1387" t="s">
        <v>166</v>
      </c>
      <c r="E1387">
        <v>1.91</v>
      </c>
    </row>
    <row r="1388" spans="1:5" hidden="1" x14ac:dyDescent="0.3">
      <c r="A1388" t="s">
        <v>371</v>
      </c>
      <c r="B1388" t="s">
        <v>372</v>
      </c>
      <c r="C1388" s="1">
        <v>31686</v>
      </c>
      <c r="D1388" t="s">
        <v>166</v>
      </c>
      <c r="E1388">
        <v>-2.84</v>
      </c>
    </row>
    <row r="1389" spans="1:5" hidden="1" x14ac:dyDescent="0.3">
      <c r="A1389" t="s">
        <v>5</v>
      </c>
      <c r="B1389" t="s">
        <v>6</v>
      </c>
      <c r="C1389" s="1">
        <v>31594</v>
      </c>
      <c r="D1389" t="s">
        <v>165</v>
      </c>
      <c r="E1389">
        <v>3.12</v>
      </c>
    </row>
    <row r="1390" spans="1:5" hidden="1" x14ac:dyDescent="0.3">
      <c r="A1390" t="s">
        <v>325</v>
      </c>
      <c r="B1390" t="s">
        <v>326</v>
      </c>
      <c r="C1390" s="1">
        <v>31594</v>
      </c>
      <c r="D1390" t="s">
        <v>165</v>
      </c>
      <c r="E1390">
        <v>4.07</v>
      </c>
    </row>
    <row r="1391" spans="1:5" hidden="1" x14ac:dyDescent="0.3">
      <c r="A1391" t="s">
        <v>327</v>
      </c>
      <c r="B1391" t="s">
        <v>328</v>
      </c>
      <c r="C1391" s="1">
        <v>31594</v>
      </c>
      <c r="D1391" t="s">
        <v>165</v>
      </c>
      <c r="E1391">
        <v>2.2799999999999998</v>
      </c>
    </row>
    <row r="1392" spans="1:5" x14ac:dyDescent="0.3">
      <c r="A1392" t="s">
        <v>329</v>
      </c>
      <c r="B1392" t="s">
        <v>330</v>
      </c>
      <c r="C1392" s="1">
        <v>31594</v>
      </c>
      <c r="D1392" t="s">
        <v>165</v>
      </c>
      <c r="E1392">
        <v>-21.43</v>
      </c>
    </row>
    <row r="1393" spans="1:5" hidden="1" x14ac:dyDescent="0.3">
      <c r="A1393" t="s">
        <v>335</v>
      </c>
      <c r="B1393" t="s">
        <v>336</v>
      </c>
      <c r="C1393" s="1">
        <v>31594</v>
      </c>
      <c r="D1393" t="s">
        <v>165</v>
      </c>
      <c r="E1393">
        <v>2.15</v>
      </c>
    </row>
    <row r="1394" spans="1:5" hidden="1" x14ac:dyDescent="0.3">
      <c r="A1394" t="s">
        <v>337</v>
      </c>
      <c r="B1394" t="s">
        <v>338</v>
      </c>
      <c r="C1394" s="1">
        <v>31594</v>
      </c>
      <c r="D1394" t="s">
        <v>165</v>
      </c>
      <c r="E1394">
        <v>1.86</v>
      </c>
    </row>
    <row r="1395" spans="1:5" hidden="1" x14ac:dyDescent="0.3">
      <c r="A1395" t="s">
        <v>371</v>
      </c>
      <c r="B1395" t="s">
        <v>372</v>
      </c>
      <c r="C1395" s="1">
        <v>31594</v>
      </c>
      <c r="D1395" t="s">
        <v>165</v>
      </c>
      <c r="E1395">
        <v>-3.24</v>
      </c>
    </row>
    <row r="1396" spans="1:5" hidden="1" x14ac:dyDescent="0.3">
      <c r="A1396" t="s">
        <v>5</v>
      </c>
      <c r="B1396" t="s">
        <v>6</v>
      </c>
      <c r="C1396" s="1">
        <v>31503</v>
      </c>
      <c r="D1396" t="s">
        <v>164</v>
      </c>
      <c r="E1396">
        <v>3.7</v>
      </c>
    </row>
    <row r="1397" spans="1:5" hidden="1" x14ac:dyDescent="0.3">
      <c r="A1397" t="s">
        <v>325</v>
      </c>
      <c r="B1397" t="s">
        <v>326</v>
      </c>
      <c r="C1397" s="1">
        <v>31503</v>
      </c>
      <c r="D1397" t="s">
        <v>164</v>
      </c>
      <c r="E1397">
        <v>4.01</v>
      </c>
    </row>
    <row r="1398" spans="1:5" hidden="1" x14ac:dyDescent="0.3">
      <c r="A1398" t="s">
        <v>327</v>
      </c>
      <c r="B1398" t="s">
        <v>328</v>
      </c>
      <c r="C1398" s="1">
        <v>31503</v>
      </c>
      <c r="D1398" t="s">
        <v>164</v>
      </c>
      <c r="E1398">
        <v>2.2200000000000002</v>
      </c>
    </row>
    <row r="1399" spans="1:5" x14ac:dyDescent="0.3">
      <c r="A1399" t="s">
        <v>329</v>
      </c>
      <c r="B1399" t="s">
        <v>330</v>
      </c>
      <c r="C1399" s="1">
        <v>31503</v>
      </c>
      <c r="D1399" t="s">
        <v>164</v>
      </c>
      <c r="E1399">
        <v>-12.66</v>
      </c>
    </row>
    <row r="1400" spans="1:5" hidden="1" x14ac:dyDescent="0.3">
      <c r="A1400" t="s">
        <v>335</v>
      </c>
      <c r="B1400" t="s">
        <v>336</v>
      </c>
      <c r="C1400" s="1">
        <v>31503</v>
      </c>
      <c r="D1400" t="s">
        <v>164</v>
      </c>
      <c r="E1400">
        <v>2.62</v>
      </c>
    </row>
    <row r="1401" spans="1:5" hidden="1" x14ac:dyDescent="0.3">
      <c r="A1401" t="s">
        <v>337</v>
      </c>
      <c r="B1401" t="s">
        <v>338</v>
      </c>
      <c r="C1401" s="1">
        <v>31503</v>
      </c>
      <c r="D1401" t="s">
        <v>164</v>
      </c>
      <c r="E1401">
        <v>1.96</v>
      </c>
    </row>
    <row r="1402" spans="1:5" hidden="1" x14ac:dyDescent="0.3">
      <c r="A1402" t="s">
        <v>371</v>
      </c>
      <c r="B1402" t="s">
        <v>372</v>
      </c>
      <c r="C1402" s="1">
        <v>31503</v>
      </c>
      <c r="D1402" t="s">
        <v>164</v>
      </c>
      <c r="E1402">
        <v>-1.82</v>
      </c>
    </row>
    <row r="1403" spans="1:5" hidden="1" x14ac:dyDescent="0.3">
      <c r="A1403" t="s">
        <v>5</v>
      </c>
      <c r="B1403" t="s">
        <v>6</v>
      </c>
      <c r="C1403" s="1">
        <v>31413</v>
      </c>
      <c r="D1403" t="s">
        <v>163</v>
      </c>
      <c r="E1403">
        <v>4.1500000000000004</v>
      </c>
    </row>
    <row r="1404" spans="1:5" hidden="1" x14ac:dyDescent="0.3">
      <c r="A1404" t="s">
        <v>325</v>
      </c>
      <c r="B1404" t="s">
        <v>326</v>
      </c>
      <c r="C1404" s="1">
        <v>31413</v>
      </c>
      <c r="D1404" t="s">
        <v>163</v>
      </c>
      <c r="E1404">
        <v>4.24</v>
      </c>
    </row>
    <row r="1405" spans="1:5" hidden="1" x14ac:dyDescent="0.3">
      <c r="A1405" t="s">
        <v>327</v>
      </c>
      <c r="B1405" t="s">
        <v>328</v>
      </c>
      <c r="C1405" s="1">
        <v>31413</v>
      </c>
      <c r="D1405" t="s">
        <v>163</v>
      </c>
      <c r="E1405">
        <v>2.0499999999999998</v>
      </c>
    </row>
    <row r="1406" spans="1:5" x14ac:dyDescent="0.3">
      <c r="A1406" t="s">
        <v>329</v>
      </c>
      <c r="B1406" t="s">
        <v>330</v>
      </c>
      <c r="C1406" s="1">
        <v>31413</v>
      </c>
      <c r="D1406" t="s">
        <v>163</v>
      </c>
      <c r="E1406">
        <v>-7.67</v>
      </c>
    </row>
    <row r="1407" spans="1:5" hidden="1" x14ac:dyDescent="0.3">
      <c r="A1407" t="s">
        <v>335</v>
      </c>
      <c r="B1407" t="s">
        <v>336</v>
      </c>
      <c r="C1407" s="1">
        <v>31413</v>
      </c>
      <c r="D1407" t="s">
        <v>163</v>
      </c>
      <c r="E1407">
        <v>1.1299999999999999</v>
      </c>
    </row>
    <row r="1408" spans="1:5" hidden="1" x14ac:dyDescent="0.3">
      <c r="A1408" t="s">
        <v>337</v>
      </c>
      <c r="B1408" t="s">
        <v>338</v>
      </c>
      <c r="C1408" s="1">
        <v>31413</v>
      </c>
      <c r="D1408" t="s">
        <v>163</v>
      </c>
      <c r="E1408">
        <v>2.35</v>
      </c>
    </row>
    <row r="1409" spans="1:5" hidden="1" x14ac:dyDescent="0.3">
      <c r="A1409" t="s">
        <v>371</v>
      </c>
      <c r="B1409" t="s">
        <v>372</v>
      </c>
      <c r="C1409" s="1">
        <v>31413</v>
      </c>
      <c r="D1409" t="s">
        <v>163</v>
      </c>
      <c r="E1409">
        <v>-2.77</v>
      </c>
    </row>
    <row r="1410" spans="1:5" hidden="1" x14ac:dyDescent="0.3">
      <c r="A1410" t="s">
        <v>5</v>
      </c>
      <c r="B1410" t="s">
        <v>6</v>
      </c>
      <c r="C1410" s="1">
        <v>31321</v>
      </c>
      <c r="D1410" t="s">
        <v>162</v>
      </c>
      <c r="E1410">
        <v>4.18</v>
      </c>
    </row>
    <row r="1411" spans="1:5" hidden="1" x14ac:dyDescent="0.3">
      <c r="A1411" t="s">
        <v>325</v>
      </c>
      <c r="B1411" t="s">
        <v>326</v>
      </c>
      <c r="C1411" s="1">
        <v>31321</v>
      </c>
      <c r="D1411" t="s">
        <v>162</v>
      </c>
      <c r="E1411">
        <v>4.26</v>
      </c>
    </row>
    <row r="1412" spans="1:5" hidden="1" x14ac:dyDescent="0.3">
      <c r="A1412" t="s">
        <v>327</v>
      </c>
      <c r="B1412" t="s">
        <v>328</v>
      </c>
      <c r="C1412" s="1">
        <v>31321</v>
      </c>
      <c r="D1412" t="s">
        <v>162</v>
      </c>
      <c r="E1412">
        <v>2.73</v>
      </c>
    </row>
    <row r="1413" spans="1:5" x14ac:dyDescent="0.3">
      <c r="A1413" t="s">
        <v>329</v>
      </c>
      <c r="B1413" t="s">
        <v>330</v>
      </c>
      <c r="C1413" s="1">
        <v>31321</v>
      </c>
      <c r="D1413" t="s">
        <v>162</v>
      </c>
      <c r="E1413">
        <v>-12.56</v>
      </c>
    </row>
    <row r="1414" spans="1:5" hidden="1" x14ac:dyDescent="0.3">
      <c r="A1414" t="s">
        <v>335</v>
      </c>
      <c r="B1414" t="s">
        <v>336</v>
      </c>
      <c r="C1414" s="1">
        <v>31321</v>
      </c>
      <c r="D1414" t="s">
        <v>162</v>
      </c>
      <c r="E1414">
        <v>-4.1100000000000003</v>
      </c>
    </row>
    <row r="1415" spans="1:5" hidden="1" x14ac:dyDescent="0.3">
      <c r="A1415" t="s">
        <v>337</v>
      </c>
      <c r="B1415" t="s">
        <v>338</v>
      </c>
      <c r="C1415" s="1">
        <v>31321</v>
      </c>
      <c r="D1415" t="s">
        <v>162</v>
      </c>
      <c r="E1415">
        <v>2.63</v>
      </c>
    </row>
    <row r="1416" spans="1:5" hidden="1" x14ac:dyDescent="0.3">
      <c r="A1416" t="s">
        <v>371</v>
      </c>
      <c r="B1416" t="s">
        <v>372</v>
      </c>
      <c r="C1416" s="1">
        <v>31321</v>
      </c>
      <c r="D1416" t="s">
        <v>162</v>
      </c>
      <c r="E1416">
        <v>-3.66</v>
      </c>
    </row>
    <row r="1417" spans="1:5" hidden="1" x14ac:dyDescent="0.3">
      <c r="A1417" t="s">
        <v>5</v>
      </c>
      <c r="B1417" t="s">
        <v>6</v>
      </c>
      <c r="C1417" s="1">
        <v>31229</v>
      </c>
      <c r="D1417" t="s">
        <v>161</v>
      </c>
      <c r="E1417">
        <v>4.26</v>
      </c>
    </row>
    <row r="1418" spans="1:5" hidden="1" x14ac:dyDescent="0.3">
      <c r="A1418" t="s">
        <v>325</v>
      </c>
      <c r="B1418" t="s">
        <v>326</v>
      </c>
      <c r="C1418" s="1">
        <v>31229</v>
      </c>
      <c r="D1418" t="s">
        <v>161</v>
      </c>
      <c r="E1418">
        <v>4.1100000000000003</v>
      </c>
    </row>
    <row r="1419" spans="1:5" hidden="1" x14ac:dyDescent="0.3">
      <c r="A1419" t="s">
        <v>327</v>
      </c>
      <c r="B1419" t="s">
        <v>328</v>
      </c>
      <c r="C1419" s="1">
        <v>31229</v>
      </c>
      <c r="D1419" t="s">
        <v>161</v>
      </c>
      <c r="E1419">
        <v>2.2000000000000002</v>
      </c>
    </row>
    <row r="1420" spans="1:5" x14ac:dyDescent="0.3">
      <c r="A1420" t="s">
        <v>329</v>
      </c>
      <c r="B1420" t="s">
        <v>330</v>
      </c>
      <c r="C1420" s="1">
        <v>31229</v>
      </c>
      <c r="D1420" t="s">
        <v>161</v>
      </c>
      <c r="E1420">
        <v>-30.64</v>
      </c>
    </row>
    <row r="1421" spans="1:5" hidden="1" x14ac:dyDescent="0.3">
      <c r="A1421" t="s">
        <v>335</v>
      </c>
      <c r="B1421" t="s">
        <v>336</v>
      </c>
      <c r="C1421" s="1">
        <v>31229</v>
      </c>
      <c r="D1421" t="s">
        <v>161</v>
      </c>
      <c r="E1421">
        <v>-6.1</v>
      </c>
    </row>
    <row r="1422" spans="1:5" hidden="1" x14ac:dyDescent="0.3">
      <c r="A1422" t="s">
        <v>337</v>
      </c>
      <c r="B1422" t="s">
        <v>338</v>
      </c>
      <c r="C1422" s="1">
        <v>31229</v>
      </c>
      <c r="D1422" t="s">
        <v>161</v>
      </c>
      <c r="E1422">
        <v>2.93</v>
      </c>
    </row>
    <row r="1423" spans="1:5" hidden="1" x14ac:dyDescent="0.3">
      <c r="A1423" t="s">
        <v>371</v>
      </c>
      <c r="B1423" t="s">
        <v>372</v>
      </c>
      <c r="C1423" s="1">
        <v>31229</v>
      </c>
      <c r="D1423" t="s">
        <v>161</v>
      </c>
      <c r="E1423">
        <v>-3.13</v>
      </c>
    </row>
    <row r="1424" spans="1:5" hidden="1" x14ac:dyDescent="0.3">
      <c r="A1424" t="s">
        <v>5</v>
      </c>
      <c r="B1424" t="s">
        <v>6</v>
      </c>
      <c r="C1424" s="1">
        <v>31138</v>
      </c>
      <c r="D1424" t="s">
        <v>160</v>
      </c>
      <c r="E1424">
        <v>3.68</v>
      </c>
    </row>
    <row r="1425" spans="1:5" hidden="1" x14ac:dyDescent="0.3">
      <c r="A1425" t="s">
        <v>325</v>
      </c>
      <c r="B1425" t="s">
        <v>326</v>
      </c>
      <c r="C1425" s="1">
        <v>31138</v>
      </c>
      <c r="D1425" t="s">
        <v>160</v>
      </c>
      <c r="E1425">
        <v>4.4800000000000004</v>
      </c>
    </row>
    <row r="1426" spans="1:5" hidden="1" x14ac:dyDescent="0.3">
      <c r="A1426" t="s">
        <v>327</v>
      </c>
      <c r="B1426" t="s">
        <v>328</v>
      </c>
      <c r="C1426" s="1">
        <v>31138</v>
      </c>
      <c r="D1426" t="s">
        <v>160</v>
      </c>
      <c r="E1426">
        <v>2.37</v>
      </c>
    </row>
    <row r="1427" spans="1:5" x14ac:dyDescent="0.3">
      <c r="A1427" t="s">
        <v>329</v>
      </c>
      <c r="B1427" t="s">
        <v>330</v>
      </c>
      <c r="C1427" s="1">
        <v>31138</v>
      </c>
      <c r="D1427" t="s">
        <v>160</v>
      </c>
      <c r="E1427">
        <v>-24.95</v>
      </c>
    </row>
    <row r="1428" spans="1:5" hidden="1" x14ac:dyDescent="0.3">
      <c r="A1428" t="s">
        <v>335</v>
      </c>
      <c r="B1428" t="s">
        <v>336</v>
      </c>
      <c r="C1428" s="1">
        <v>31138</v>
      </c>
      <c r="D1428" t="s">
        <v>160</v>
      </c>
      <c r="E1428">
        <v>-2.35</v>
      </c>
    </row>
    <row r="1429" spans="1:5" hidden="1" x14ac:dyDescent="0.3">
      <c r="A1429" t="s">
        <v>337</v>
      </c>
      <c r="B1429" t="s">
        <v>338</v>
      </c>
      <c r="C1429" s="1">
        <v>31138</v>
      </c>
      <c r="D1429" t="s">
        <v>160</v>
      </c>
      <c r="E1429">
        <v>3.34</v>
      </c>
    </row>
    <row r="1430" spans="1:5" hidden="1" x14ac:dyDescent="0.3">
      <c r="A1430" t="s">
        <v>371</v>
      </c>
      <c r="B1430" t="s">
        <v>372</v>
      </c>
      <c r="C1430" s="1">
        <v>31138</v>
      </c>
      <c r="D1430" t="s">
        <v>160</v>
      </c>
      <c r="E1430">
        <v>-1.79</v>
      </c>
    </row>
    <row r="1431" spans="1:5" hidden="1" x14ac:dyDescent="0.3">
      <c r="A1431" t="s">
        <v>5</v>
      </c>
      <c r="B1431" t="s">
        <v>6</v>
      </c>
      <c r="C1431" s="1">
        <v>31048</v>
      </c>
      <c r="D1431" t="s">
        <v>159</v>
      </c>
      <c r="E1431">
        <v>4.55</v>
      </c>
    </row>
    <row r="1432" spans="1:5" hidden="1" x14ac:dyDescent="0.3">
      <c r="A1432" t="s">
        <v>325</v>
      </c>
      <c r="B1432" t="s">
        <v>326</v>
      </c>
      <c r="C1432" s="1">
        <v>31048</v>
      </c>
      <c r="D1432" t="s">
        <v>159</v>
      </c>
      <c r="E1432">
        <v>4.67</v>
      </c>
    </row>
    <row r="1433" spans="1:5" hidden="1" x14ac:dyDescent="0.3">
      <c r="A1433" t="s">
        <v>327</v>
      </c>
      <c r="B1433" t="s">
        <v>328</v>
      </c>
      <c r="C1433" s="1">
        <v>31048</v>
      </c>
      <c r="D1433" t="s">
        <v>159</v>
      </c>
      <c r="E1433">
        <v>2.35</v>
      </c>
    </row>
    <row r="1434" spans="1:5" x14ac:dyDescent="0.3">
      <c r="A1434" t="s">
        <v>329</v>
      </c>
      <c r="B1434" t="s">
        <v>330</v>
      </c>
      <c r="C1434" s="1">
        <v>31048</v>
      </c>
      <c r="D1434" t="s">
        <v>159</v>
      </c>
      <c r="E1434">
        <v>-12.49</v>
      </c>
    </row>
    <row r="1435" spans="1:5" hidden="1" x14ac:dyDescent="0.3">
      <c r="A1435" t="s">
        <v>335</v>
      </c>
      <c r="B1435" t="s">
        <v>336</v>
      </c>
      <c r="C1435" s="1">
        <v>31048</v>
      </c>
      <c r="D1435" t="s">
        <v>159</v>
      </c>
      <c r="E1435">
        <v>-5.0599999999999996</v>
      </c>
    </row>
    <row r="1436" spans="1:5" hidden="1" x14ac:dyDescent="0.3">
      <c r="A1436" t="s">
        <v>337</v>
      </c>
      <c r="B1436" t="s">
        <v>338</v>
      </c>
      <c r="C1436" s="1">
        <v>31048</v>
      </c>
      <c r="D1436" t="s">
        <v>159</v>
      </c>
      <c r="E1436">
        <v>3.74</v>
      </c>
    </row>
    <row r="1437" spans="1:5" hidden="1" x14ac:dyDescent="0.3">
      <c r="A1437" t="s">
        <v>371</v>
      </c>
      <c r="B1437" t="s">
        <v>372</v>
      </c>
      <c r="C1437" s="1">
        <v>31048</v>
      </c>
      <c r="D1437" t="s">
        <v>159</v>
      </c>
      <c r="E1437">
        <v>-8.06</v>
      </c>
    </row>
    <row r="1438" spans="1:5" hidden="1" x14ac:dyDescent="0.3">
      <c r="A1438" t="s">
        <v>5</v>
      </c>
      <c r="B1438" t="s">
        <v>6</v>
      </c>
      <c r="C1438" s="1">
        <v>30956</v>
      </c>
      <c r="D1438" t="s">
        <v>158</v>
      </c>
      <c r="E1438">
        <v>5.58</v>
      </c>
    </row>
    <row r="1439" spans="1:5" hidden="1" x14ac:dyDescent="0.3">
      <c r="A1439" t="s">
        <v>325</v>
      </c>
      <c r="B1439" t="s">
        <v>326</v>
      </c>
      <c r="C1439" s="1">
        <v>30956</v>
      </c>
      <c r="D1439" t="s">
        <v>158</v>
      </c>
      <c r="E1439">
        <v>4.96</v>
      </c>
    </row>
    <row r="1440" spans="1:5" hidden="1" x14ac:dyDescent="0.3">
      <c r="A1440" t="s">
        <v>327</v>
      </c>
      <c r="B1440" t="s">
        <v>328</v>
      </c>
      <c r="C1440" s="1">
        <v>30956</v>
      </c>
      <c r="D1440" t="s">
        <v>158</v>
      </c>
      <c r="E1440">
        <v>2.2200000000000002</v>
      </c>
    </row>
    <row r="1441" spans="1:5" x14ac:dyDescent="0.3">
      <c r="A1441" t="s">
        <v>329</v>
      </c>
      <c r="B1441" t="s">
        <v>330</v>
      </c>
      <c r="C1441" s="1">
        <v>30956</v>
      </c>
      <c r="D1441" t="s">
        <v>158</v>
      </c>
      <c r="E1441">
        <v>-1.73</v>
      </c>
    </row>
    <row r="1442" spans="1:5" hidden="1" x14ac:dyDescent="0.3">
      <c r="A1442" t="s">
        <v>335</v>
      </c>
      <c r="B1442" t="s">
        <v>336</v>
      </c>
      <c r="C1442" s="1">
        <v>30956</v>
      </c>
      <c r="D1442" t="s">
        <v>158</v>
      </c>
      <c r="E1442">
        <v>3.75</v>
      </c>
    </row>
    <row r="1443" spans="1:5" hidden="1" x14ac:dyDescent="0.3">
      <c r="A1443" t="s">
        <v>337</v>
      </c>
      <c r="B1443" t="s">
        <v>338</v>
      </c>
      <c r="C1443" s="1">
        <v>30956</v>
      </c>
      <c r="D1443" t="s">
        <v>158</v>
      </c>
      <c r="E1443">
        <v>4.3899999999999997</v>
      </c>
    </row>
    <row r="1444" spans="1:5" hidden="1" x14ac:dyDescent="0.3">
      <c r="A1444" t="s">
        <v>371</v>
      </c>
      <c r="B1444" t="s">
        <v>372</v>
      </c>
      <c r="C1444" s="1">
        <v>30956</v>
      </c>
      <c r="D1444" t="s">
        <v>158</v>
      </c>
      <c r="E1444">
        <v>-14.45</v>
      </c>
    </row>
    <row r="1445" spans="1:5" hidden="1" x14ac:dyDescent="0.3">
      <c r="A1445" t="s">
        <v>5</v>
      </c>
      <c r="B1445" t="s">
        <v>6</v>
      </c>
      <c r="C1445" s="1">
        <v>30864</v>
      </c>
      <c r="D1445" t="s">
        <v>157</v>
      </c>
      <c r="E1445">
        <v>6.9</v>
      </c>
    </row>
    <row r="1446" spans="1:5" hidden="1" x14ac:dyDescent="0.3">
      <c r="A1446" t="s">
        <v>325</v>
      </c>
      <c r="B1446" t="s">
        <v>326</v>
      </c>
      <c r="C1446" s="1">
        <v>30864</v>
      </c>
      <c r="D1446" t="s">
        <v>157</v>
      </c>
      <c r="E1446">
        <v>5.26</v>
      </c>
    </row>
    <row r="1447" spans="1:5" hidden="1" x14ac:dyDescent="0.3">
      <c r="A1447" t="s">
        <v>327</v>
      </c>
      <c r="B1447" t="s">
        <v>328</v>
      </c>
      <c r="C1447" s="1">
        <v>30864</v>
      </c>
      <c r="D1447" t="s">
        <v>157</v>
      </c>
      <c r="E1447">
        <v>2.48</v>
      </c>
    </row>
    <row r="1448" spans="1:5" x14ac:dyDescent="0.3">
      <c r="A1448" t="s">
        <v>329</v>
      </c>
      <c r="B1448" t="s">
        <v>330</v>
      </c>
      <c r="C1448" s="1">
        <v>30864</v>
      </c>
      <c r="D1448" t="s">
        <v>157</v>
      </c>
      <c r="E1448">
        <v>20.399999999999999</v>
      </c>
    </row>
    <row r="1449" spans="1:5" hidden="1" x14ac:dyDescent="0.3">
      <c r="A1449" t="s">
        <v>335</v>
      </c>
      <c r="B1449" t="s">
        <v>336</v>
      </c>
      <c r="C1449" s="1">
        <v>30864</v>
      </c>
      <c r="D1449" t="s">
        <v>157</v>
      </c>
      <c r="E1449">
        <v>8.41</v>
      </c>
    </row>
    <row r="1450" spans="1:5" hidden="1" x14ac:dyDescent="0.3">
      <c r="A1450" t="s">
        <v>337</v>
      </c>
      <c r="B1450" t="s">
        <v>338</v>
      </c>
      <c r="C1450" s="1">
        <v>30864</v>
      </c>
      <c r="D1450" t="s">
        <v>157</v>
      </c>
      <c r="E1450">
        <v>4.91</v>
      </c>
    </row>
    <row r="1451" spans="1:5" hidden="1" x14ac:dyDescent="0.3">
      <c r="A1451" t="s">
        <v>371</v>
      </c>
      <c r="B1451" t="s">
        <v>372</v>
      </c>
      <c r="C1451" s="1">
        <v>30864</v>
      </c>
      <c r="D1451" t="s">
        <v>157</v>
      </c>
      <c r="E1451">
        <v>-20.65</v>
      </c>
    </row>
    <row r="1452" spans="1:5" hidden="1" x14ac:dyDescent="0.3">
      <c r="A1452" t="s">
        <v>5</v>
      </c>
      <c r="B1452" t="s">
        <v>6</v>
      </c>
      <c r="C1452" s="1">
        <v>30773</v>
      </c>
      <c r="D1452" t="s">
        <v>156</v>
      </c>
      <c r="E1452">
        <v>8</v>
      </c>
    </row>
    <row r="1453" spans="1:5" hidden="1" x14ac:dyDescent="0.3">
      <c r="A1453" t="s">
        <v>325</v>
      </c>
      <c r="B1453" t="s">
        <v>326</v>
      </c>
      <c r="C1453" s="1">
        <v>30773</v>
      </c>
      <c r="D1453" t="s">
        <v>156</v>
      </c>
      <c r="E1453">
        <v>5.26</v>
      </c>
    </row>
    <row r="1454" spans="1:5" hidden="1" x14ac:dyDescent="0.3">
      <c r="A1454" t="s">
        <v>327</v>
      </c>
      <c r="B1454" t="s">
        <v>328</v>
      </c>
      <c r="C1454" s="1">
        <v>30773</v>
      </c>
      <c r="D1454" t="s">
        <v>156</v>
      </c>
      <c r="E1454">
        <v>2.7</v>
      </c>
    </row>
    <row r="1455" spans="1:5" x14ac:dyDescent="0.3">
      <c r="A1455" t="s">
        <v>329</v>
      </c>
      <c r="B1455" t="s">
        <v>330</v>
      </c>
      <c r="C1455" s="1">
        <v>30773</v>
      </c>
      <c r="D1455" t="s">
        <v>156</v>
      </c>
      <c r="E1455">
        <v>19.93</v>
      </c>
    </row>
    <row r="1456" spans="1:5" hidden="1" x14ac:dyDescent="0.3">
      <c r="A1456" t="s">
        <v>335</v>
      </c>
      <c r="B1456" t="s">
        <v>336</v>
      </c>
      <c r="C1456" s="1">
        <v>30773</v>
      </c>
      <c r="D1456" t="s">
        <v>156</v>
      </c>
      <c r="E1456">
        <v>5.5</v>
      </c>
    </row>
    <row r="1457" spans="1:5" hidden="1" x14ac:dyDescent="0.3">
      <c r="A1457" t="s">
        <v>337</v>
      </c>
      <c r="B1457" t="s">
        <v>338</v>
      </c>
      <c r="C1457" s="1">
        <v>30773</v>
      </c>
      <c r="D1457" t="s">
        <v>156</v>
      </c>
      <c r="E1457">
        <v>4.96</v>
      </c>
    </row>
    <row r="1458" spans="1:5" hidden="1" x14ac:dyDescent="0.3">
      <c r="A1458" t="s">
        <v>371</v>
      </c>
      <c r="B1458" t="s">
        <v>372</v>
      </c>
      <c r="C1458" s="1">
        <v>30773</v>
      </c>
      <c r="D1458" t="s">
        <v>156</v>
      </c>
      <c r="E1458">
        <v>-26.65</v>
      </c>
    </row>
    <row r="1459" spans="1:5" hidden="1" x14ac:dyDescent="0.3">
      <c r="A1459" t="s">
        <v>5</v>
      </c>
      <c r="B1459" t="s">
        <v>6</v>
      </c>
      <c r="C1459" s="1">
        <v>30682</v>
      </c>
      <c r="D1459" t="s">
        <v>155</v>
      </c>
      <c r="E1459">
        <v>8.58</v>
      </c>
    </row>
    <row r="1460" spans="1:5" hidden="1" x14ac:dyDescent="0.3">
      <c r="A1460" t="s">
        <v>325</v>
      </c>
      <c r="B1460" t="s">
        <v>326</v>
      </c>
      <c r="C1460" s="1">
        <v>30682</v>
      </c>
      <c r="D1460" t="s">
        <v>155</v>
      </c>
      <c r="E1460">
        <v>5</v>
      </c>
    </row>
    <row r="1461" spans="1:5" hidden="1" x14ac:dyDescent="0.3">
      <c r="A1461" t="s">
        <v>327</v>
      </c>
      <c r="B1461" t="s">
        <v>328</v>
      </c>
      <c r="C1461" s="1">
        <v>30682</v>
      </c>
      <c r="D1461" t="s">
        <v>155</v>
      </c>
      <c r="E1461">
        <v>2.58</v>
      </c>
    </row>
    <row r="1462" spans="1:5" x14ac:dyDescent="0.3">
      <c r="A1462" t="s">
        <v>329</v>
      </c>
      <c r="B1462" t="s">
        <v>330</v>
      </c>
      <c r="C1462" s="1">
        <v>30682</v>
      </c>
      <c r="D1462" t="s">
        <v>155</v>
      </c>
      <c r="E1462">
        <v>11.95</v>
      </c>
    </row>
    <row r="1463" spans="1:5" hidden="1" x14ac:dyDescent="0.3">
      <c r="A1463" t="s">
        <v>335</v>
      </c>
      <c r="B1463" t="s">
        <v>336</v>
      </c>
      <c r="C1463" s="1">
        <v>30682</v>
      </c>
      <c r="D1463" t="s">
        <v>155</v>
      </c>
      <c r="E1463">
        <v>32.200000000000003</v>
      </c>
    </row>
    <row r="1464" spans="1:5" hidden="1" x14ac:dyDescent="0.3">
      <c r="A1464" t="s">
        <v>337</v>
      </c>
      <c r="B1464" t="s">
        <v>338</v>
      </c>
      <c r="C1464" s="1">
        <v>30682</v>
      </c>
      <c r="D1464" t="s">
        <v>155</v>
      </c>
      <c r="E1464">
        <v>4.59</v>
      </c>
    </row>
    <row r="1465" spans="1:5" hidden="1" x14ac:dyDescent="0.3">
      <c r="A1465" t="s">
        <v>371</v>
      </c>
      <c r="B1465" t="s">
        <v>372</v>
      </c>
      <c r="C1465" s="1">
        <v>30682</v>
      </c>
      <c r="D1465" t="s">
        <v>155</v>
      </c>
      <c r="E1465">
        <v>-24.11</v>
      </c>
    </row>
    <row r="1466" spans="1:5" hidden="1" x14ac:dyDescent="0.3">
      <c r="A1466" t="s">
        <v>5</v>
      </c>
      <c r="B1466" t="s">
        <v>6</v>
      </c>
      <c r="C1466" s="1">
        <v>30590</v>
      </c>
      <c r="D1466" t="s">
        <v>154</v>
      </c>
      <c r="E1466">
        <v>7.9</v>
      </c>
    </row>
    <row r="1467" spans="1:5" hidden="1" x14ac:dyDescent="0.3">
      <c r="A1467" t="s">
        <v>325</v>
      </c>
      <c r="B1467" t="s">
        <v>326</v>
      </c>
      <c r="C1467" s="1">
        <v>30590</v>
      </c>
      <c r="D1467" t="s">
        <v>154</v>
      </c>
      <c r="E1467">
        <v>4.21</v>
      </c>
    </row>
    <row r="1468" spans="1:5" hidden="1" x14ac:dyDescent="0.3">
      <c r="A1468" t="s">
        <v>327</v>
      </c>
      <c r="B1468" t="s">
        <v>328</v>
      </c>
      <c r="C1468" s="1">
        <v>30590</v>
      </c>
      <c r="D1468" t="s">
        <v>154</v>
      </c>
      <c r="E1468">
        <v>2.1</v>
      </c>
    </row>
    <row r="1469" spans="1:5" x14ac:dyDescent="0.3">
      <c r="A1469" t="s">
        <v>329</v>
      </c>
      <c r="B1469" t="s">
        <v>330</v>
      </c>
      <c r="C1469" s="1">
        <v>30590</v>
      </c>
      <c r="D1469" t="s">
        <v>154</v>
      </c>
      <c r="E1469">
        <v>1.54</v>
      </c>
    </row>
    <row r="1470" spans="1:5" hidden="1" x14ac:dyDescent="0.3">
      <c r="A1470" t="s">
        <v>335</v>
      </c>
      <c r="B1470" t="s">
        <v>336</v>
      </c>
      <c r="C1470" s="1">
        <v>30590</v>
      </c>
      <c r="D1470" t="s">
        <v>154</v>
      </c>
      <c r="E1470">
        <v>26.31</v>
      </c>
    </row>
    <row r="1471" spans="1:5" hidden="1" x14ac:dyDescent="0.3">
      <c r="A1471" t="s">
        <v>337</v>
      </c>
      <c r="B1471" t="s">
        <v>338</v>
      </c>
      <c r="C1471" s="1">
        <v>30590</v>
      </c>
      <c r="D1471" t="s">
        <v>154</v>
      </c>
      <c r="E1471">
        <v>3.44</v>
      </c>
    </row>
    <row r="1472" spans="1:5" hidden="1" x14ac:dyDescent="0.3">
      <c r="A1472" t="s">
        <v>371</v>
      </c>
      <c r="B1472" t="s">
        <v>372</v>
      </c>
      <c r="C1472" s="1">
        <v>30590</v>
      </c>
      <c r="D1472" t="s">
        <v>154</v>
      </c>
      <c r="E1472">
        <v>-20.010000000000002</v>
      </c>
    </row>
    <row r="1473" spans="1:5" hidden="1" x14ac:dyDescent="0.3">
      <c r="A1473" t="s">
        <v>5</v>
      </c>
      <c r="B1473" t="s">
        <v>6</v>
      </c>
      <c r="C1473" s="1">
        <v>30498</v>
      </c>
      <c r="D1473" t="s">
        <v>153</v>
      </c>
      <c r="E1473">
        <v>5.74</v>
      </c>
    </row>
    <row r="1474" spans="1:5" hidden="1" x14ac:dyDescent="0.3">
      <c r="A1474" t="s">
        <v>325</v>
      </c>
      <c r="B1474" t="s">
        <v>326</v>
      </c>
      <c r="C1474" s="1">
        <v>30498</v>
      </c>
      <c r="D1474" t="s">
        <v>153</v>
      </c>
      <c r="E1474">
        <v>3.23</v>
      </c>
    </row>
    <row r="1475" spans="1:5" hidden="1" x14ac:dyDescent="0.3">
      <c r="A1475" t="s">
        <v>327</v>
      </c>
      <c r="B1475" t="s">
        <v>328</v>
      </c>
      <c r="C1475" s="1">
        <v>30498</v>
      </c>
      <c r="D1475" t="s">
        <v>153</v>
      </c>
      <c r="E1475">
        <v>2.85</v>
      </c>
    </row>
    <row r="1476" spans="1:5" x14ac:dyDescent="0.3">
      <c r="A1476" t="s">
        <v>329</v>
      </c>
      <c r="B1476" t="s">
        <v>330</v>
      </c>
      <c r="C1476" s="1">
        <v>30498</v>
      </c>
      <c r="D1476" t="s">
        <v>153</v>
      </c>
      <c r="E1476">
        <v>-14.05</v>
      </c>
    </row>
    <row r="1477" spans="1:5" hidden="1" x14ac:dyDescent="0.3">
      <c r="A1477" t="s">
        <v>335</v>
      </c>
      <c r="B1477" t="s">
        <v>336</v>
      </c>
      <c r="C1477" s="1">
        <v>30498</v>
      </c>
      <c r="D1477" t="s">
        <v>153</v>
      </c>
      <c r="E1477">
        <v>36.729999999999997</v>
      </c>
    </row>
    <row r="1478" spans="1:5" hidden="1" x14ac:dyDescent="0.3">
      <c r="A1478" t="s">
        <v>337</v>
      </c>
      <c r="B1478" t="s">
        <v>338</v>
      </c>
      <c r="C1478" s="1">
        <v>30498</v>
      </c>
      <c r="D1478" t="s">
        <v>153</v>
      </c>
      <c r="E1478">
        <v>1.4</v>
      </c>
    </row>
    <row r="1479" spans="1:5" hidden="1" x14ac:dyDescent="0.3">
      <c r="A1479" t="s">
        <v>371</v>
      </c>
      <c r="B1479" t="s">
        <v>372</v>
      </c>
      <c r="C1479" s="1">
        <v>30498</v>
      </c>
      <c r="D1479" t="s">
        <v>153</v>
      </c>
      <c r="E1479">
        <v>-5.38</v>
      </c>
    </row>
    <row r="1480" spans="1:5" hidden="1" x14ac:dyDescent="0.3">
      <c r="A1480" t="s">
        <v>5</v>
      </c>
      <c r="B1480" t="s">
        <v>6</v>
      </c>
      <c r="C1480" s="1">
        <v>30407</v>
      </c>
      <c r="D1480" t="s">
        <v>152</v>
      </c>
      <c r="E1480">
        <v>3.27</v>
      </c>
    </row>
    <row r="1481" spans="1:5" hidden="1" x14ac:dyDescent="0.3">
      <c r="A1481" t="s">
        <v>325</v>
      </c>
      <c r="B1481" t="s">
        <v>326</v>
      </c>
      <c r="C1481" s="1">
        <v>30407</v>
      </c>
      <c r="D1481" t="s">
        <v>152</v>
      </c>
      <c r="E1481">
        <v>3.67</v>
      </c>
    </row>
    <row r="1482" spans="1:5" hidden="1" x14ac:dyDescent="0.3">
      <c r="A1482" t="s">
        <v>327</v>
      </c>
      <c r="B1482" t="s">
        <v>328</v>
      </c>
      <c r="C1482" s="1">
        <v>30407</v>
      </c>
      <c r="D1482" t="s">
        <v>152</v>
      </c>
      <c r="E1482">
        <v>3.19</v>
      </c>
    </row>
    <row r="1483" spans="1:5" x14ac:dyDescent="0.3">
      <c r="A1483" t="s">
        <v>329</v>
      </c>
      <c r="B1483" t="s">
        <v>330</v>
      </c>
      <c r="C1483" s="1">
        <v>30407</v>
      </c>
      <c r="D1483" t="s">
        <v>152</v>
      </c>
      <c r="E1483">
        <v>-39.340000000000003</v>
      </c>
    </row>
    <row r="1484" spans="1:5" hidden="1" x14ac:dyDescent="0.3">
      <c r="A1484" t="s">
        <v>335</v>
      </c>
      <c r="B1484" t="s">
        <v>336</v>
      </c>
      <c r="C1484" s="1">
        <v>30407</v>
      </c>
      <c r="D1484" t="s">
        <v>152</v>
      </c>
      <c r="E1484">
        <v>38.200000000000003</v>
      </c>
    </row>
    <row r="1485" spans="1:5" hidden="1" x14ac:dyDescent="0.3">
      <c r="A1485" t="s">
        <v>337</v>
      </c>
      <c r="B1485" t="s">
        <v>338</v>
      </c>
      <c r="C1485" s="1">
        <v>30407</v>
      </c>
      <c r="D1485" t="s">
        <v>152</v>
      </c>
      <c r="E1485">
        <v>-0.4</v>
      </c>
    </row>
    <row r="1486" spans="1:5" hidden="1" x14ac:dyDescent="0.3">
      <c r="A1486" t="s">
        <v>371</v>
      </c>
      <c r="B1486" t="s">
        <v>372</v>
      </c>
      <c r="C1486" s="1">
        <v>30407</v>
      </c>
      <c r="D1486" t="s">
        <v>152</v>
      </c>
      <c r="E1486">
        <v>7.42</v>
      </c>
    </row>
    <row r="1487" spans="1:5" hidden="1" x14ac:dyDescent="0.3">
      <c r="A1487" t="s">
        <v>5</v>
      </c>
      <c r="B1487" t="s">
        <v>6</v>
      </c>
      <c r="C1487" s="1">
        <v>30317</v>
      </c>
      <c r="D1487" t="s">
        <v>151</v>
      </c>
      <c r="E1487">
        <v>1.43</v>
      </c>
    </row>
    <row r="1488" spans="1:5" hidden="1" x14ac:dyDescent="0.3">
      <c r="A1488" t="s">
        <v>325</v>
      </c>
      <c r="B1488" t="s">
        <v>326</v>
      </c>
      <c r="C1488" s="1">
        <v>30317</v>
      </c>
      <c r="D1488" t="s">
        <v>151</v>
      </c>
      <c r="E1488">
        <v>4.55</v>
      </c>
    </row>
    <row r="1489" spans="1:5" hidden="1" x14ac:dyDescent="0.3">
      <c r="A1489" t="s">
        <v>327</v>
      </c>
      <c r="B1489" t="s">
        <v>328</v>
      </c>
      <c r="C1489" s="1">
        <v>30317</v>
      </c>
      <c r="D1489" t="s">
        <v>151</v>
      </c>
      <c r="E1489">
        <v>3.93</v>
      </c>
    </row>
    <row r="1490" spans="1:5" x14ac:dyDescent="0.3">
      <c r="A1490" t="s">
        <v>329</v>
      </c>
      <c r="B1490" t="s">
        <v>330</v>
      </c>
      <c r="C1490" s="1">
        <v>30317</v>
      </c>
      <c r="D1490" t="s">
        <v>151</v>
      </c>
      <c r="E1490">
        <v>-39.18</v>
      </c>
    </row>
    <row r="1491" spans="1:5" hidden="1" x14ac:dyDescent="0.3">
      <c r="A1491" t="s">
        <v>335</v>
      </c>
      <c r="B1491" t="s">
        <v>336</v>
      </c>
      <c r="C1491" s="1">
        <v>30317</v>
      </c>
      <c r="D1491" t="s">
        <v>151</v>
      </c>
      <c r="E1491">
        <v>13.18</v>
      </c>
    </row>
    <row r="1492" spans="1:5" hidden="1" x14ac:dyDescent="0.3">
      <c r="A1492" t="s">
        <v>337</v>
      </c>
      <c r="B1492" t="s">
        <v>338</v>
      </c>
      <c r="C1492" s="1">
        <v>30317</v>
      </c>
      <c r="D1492" t="s">
        <v>151</v>
      </c>
      <c r="E1492">
        <v>-1.68</v>
      </c>
    </row>
    <row r="1493" spans="1:5" hidden="1" x14ac:dyDescent="0.3">
      <c r="A1493" t="s">
        <v>371</v>
      </c>
      <c r="B1493" t="s">
        <v>372</v>
      </c>
      <c r="C1493" s="1">
        <v>30317</v>
      </c>
      <c r="D1493" t="s">
        <v>151</v>
      </c>
      <c r="E1493">
        <v>17.37</v>
      </c>
    </row>
    <row r="1494" spans="1:5" hidden="1" x14ac:dyDescent="0.3">
      <c r="A1494" t="s">
        <v>5</v>
      </c>
      <c r="B1494" t="s">
        <v>6</v>
      </c>
      <c r="C1494" s="1">
        <v>30225</v>
      </c>
      <c r="D1494" t="s">
        <v>150</v>
      </c>
      <c r="E1494">
        <v>-1.44</v>
      </c>
    </row>
    <row r="1495" spans="1:5" hidden="1" x14ac:dyDescent="0.3">
      <c r="A1495" t="s">
        <v>325</v>
      </c>
      <c r="B1495" t="s">
        <v>326</v>
      </c>
      <c r="C1495" s="1">
        <v>30225</v>
      </c>
      <c r="D1495" t="s">
        <v>150</v>
      </c>
      <c r="E1495">
        <v>5.19</v>
      </c>
    </row>
    <row r="1496" spans="1:5" hidden="1" x14ac:dyDescent="0.3">
      <c r="A1496" t="s">
        <v>327</v>
      </c>
      <c r="B1496" t="s">
        <v>328</v>
      </c>
      <c r="C1496" s="1">
        <v>30225</v>
      </c>
      <c r="D1496" t="s">
        <v>150</v>
      </c>
      <c r="E1496">
        <v>4.8099999999999996</v>
      </c>
    </row>
    <row r="1497" spans="1:5" x14ac:dyDescent="0.3">
      <c r="A1497" t="s">
        <v>329</v>
      </c>
      <c r="B1497" t="s">
        <v>330</v>
      </c>
      <c r="C1497" s="1">
        <v>30225</v>
      </c>
      <c r="D1497" t="s">
        <v>150</v>
      </c>
      <c r="E1497">
        <v>-31.65</v>
      </c>
    </row>
    <row r="1498" spans="1:5" hidden="1" x14ac:dyDescent="0.3">
      <c r="A1498" t="s">
        <v>335</v>
      </c>
      <c r="B1498" t="s">
        <v>336</v>
      </c>
      <c r="C1498" s="1">
        <v>30225</v>
      </c>
      <c r="D1498" t="s">
        <v>150</v>
      </c>
      <c r="E1498">
        <v>10.3</v>
      </c>
    </row>
    <row r="1499" spans="1:5" hidden="1" x14ac:dyDescent="0.3">
      <c r="A1499" t="s">
        <v>337</v>
      </c>
      <c r="B1499" t="s">
        <v>338</v>
      </c>
      <c r="C1499" s="1">
        <v>30225</v>
      </c>
      <c r="D1499" t="s">
        <v>150</v>
      </c>
      <c r="E1499">
        <v>-2.5499999999999998</v>
      </c>
    </row>
    <row r="1500" spans="1:5" hidden="1" x14ac:dyDescent="0.3">
      <c r="A1500" t="s">
        <v>371</v>
      </c>
      <c r="B1500" t="s">
        <v>372</v>
      </c>
      <c r="C1500" s="1">
        <v>30225</v>
      </c>
      <c r="D1500" t="s">
        <v>150</v>
      </c>
      <c r="E1500">
        <v>29.56</v>
      </c>
    </row>
    <row r="1501" spans="1:5" hidden="1" x14ac:dyDescent="0.3">
      <c r="A1501" t="s">
        <v>5</v>
      </c>
      <c r="B1501" t="s">
        <v>6</v>
      </c>
      <c r="C1501" s="1">
        <v>30133</v>
      </c>
      <c r="D1501" t="s">
        <v>149</v>
      </c>
      <c r="E1501">
        <v>-2.56</v>
      </c>
    </row>
    <row r="1502" spans="1:5" hidden="1" x14ac:dyDescent="0.3">
      <c r="A1502" t="s">
        <v>325</v>
      </c>
      <c r="B1502" t="s">
        <v>326</v>
      </c>
      <c r="C1502" s="1">
        <v>30133</v>
      </c>
      <c r="D1502" t="s">
        <v>149</v>
      </c>
      <c r="E1502">
        <v>6.87</v>
      </c>
    </row>
    <row r="1503" spans="1:5" hidden="1" x14ac:dyDescent="0.3">
      <c r="A1503" t="s">
        <v>327</v>
      </c>
      <c r="B1503" t="s">
        <v>328</v>
      </c>
      <c r="C1503" s="1">
        <v>30133</v>
      </c>
      <c r="D1503" t="s">
        <v>149</v>
      </c>
      <c r="E1503">
        <v>5.42</v>
      </c>
    </row>
    <row r="1504" spans="1:5" x14ac:dyDescent="0.3">
      <c r="A1504" t="s">
        <v>329</v>
      </c>
      <c r="B1504" t="s">
        <v>330</v>
      </c>
      <c r="C1504" s="1">
        <v>30133</v>
      </c>
      <c r="D1504" t="s">
        <v>149</v>
      </c>
      <c r="E1504">
        <v>-37.380000000000003</v>
      </c>
    </row>
    <row r="1505" spans="1:5" hidden="1" x14ac:dyDescent="0.3">
      <c r="A1505" t="s">
        <v>335</v>
      </c>
      <c r="B1505" t="s">
        <v>336</v>
      </c>
      <c r="C1505" s="1">
        <v>30133</v>
      </c>
      <c r="D1505" t="s">
        <v>149</v>
      </c>
      <c r="E1505">
        <v>-10.83</v>
      </c>
    </row>
    <row r="1506" spans="1:5" hidden="1" x14ac:dyDescent="0.3">
      <c r="A1506" t="s">
        <v>337</v>
      </c>
      <c r="B1506" t="s">
        <v>338</v>
      </c>
      <c r="C1506" s="1">
        <v>30133</v>
      </c>
      <c r="D1506" t="s">
        <v>149</v>
      </c>
      <c r="E1506">
        <v>-2.39</v>
      </c>
    </row>
    <row r="1507" spans="1:5" hidden="1" x14ac:dyDescent="0.3">
      <c r="A1507" t="s">
        <v>371</v>
      </c>
      <c r="B1507" t="s">
        <v>372</v>
      </c>
      <c r="C1507" s="1">
        <v>30133</v>
      </c>
      <c r="D1507" t="s">
        <v>149</v>
      </c>
      <c r="E1507">
        <v>33.78</v>
      </c>
    </row>
    <row r="1508" spans="1:5" hidden="1" x14ac:dyDescent="0.3">
      <c r="A1508" t="s">
        <v>5</v>
      </c>
      <c r="B1508" t="s">
        <v>6</v>
      </c>
      <c r="C1508" s="1">
        <v>30042</v>
      </c>
      <c r="D1508" t="s">
        <v>148</v>
      </c>
      <c r="E1508">
        <v>-1.01</v>
      </c>
    </row>
    <row r="1509" spans="1:5" hidden="1" x14ac:dyDescent="0.3">
      <c r="A1509" t="s">
        <v>325</v>
      </c>
      <c r="B1509" t="s">
        <v>326</v>
      </c>
      <c r="C1509" s="1">
        <v>30042</v>
      </c>
      <c r="D1509" t="s">
        <v>148</v>
      </c>
      <c r="E1509">
        <v>8.66</v>
      </c>
    </row>
    <row r="1510" spans="1:5" hidden="1" x14ac:dyDescent="0.3">
      <c r="A1510" t="s">
        <v>327</v>
      </c>
      <c r="B1510" t="s">
        <v>328</v>
      </c>
      <c r="C1510" s="1">
        <v>30042</v>
      </c>
      <c r="D1510" t="s">
        <v>148</v>
      </c>
      <c r="E1510">
        <v>5.74</v>
      </c>
    </row>
    <row r="1511" spans="1:5" x14ac:dyDescent="0.3">
      <c r="A1511" t="s">
        <v>329</v>
      </c>
      <c r="B1511" t="s">
        <v>330</v>
      </c>
      <c r="C1511" s="1">
        <v>30042</v>
      </c>
      <c r="D1511" t="s">
        <v>148</v>
      </c>
      <c r="E1511">
        <v>-18.37</v>
      </c>
    </row>
    <row r="1512" spans="1:5" hidden="1" x14ac:dyDescent="0.3">
      <c r="A1512" t="s">
        <v>335</v>
      </c>
      <c r="B1512" t="s">
        <v>336</v>
      </c>
      <c r="C1512" s="1">
        <v>30042</v>
      </c>
      <c r="D1512" t="s">
        <v>148</v>
      </c>
      <c r="E1512">
        <v>-10.41</v>
      </c>
    </row>
    <row r="1513" spans="1:5" hidden="1" x14ac:dyDescent="0.3">
      <c r="A1513" t="s">
        <v>337</v>
      </c>
      <c r="B1513" t="s">
        <v>338</v>
      </c>
      <c r="C1513" s="1">
        <v>30042</v>
      </c>
      <c r="D1513" t="s">
        <v>148</v>
      </c>
      <c r="E1513">
        <v>-1.44</v>
      </c>
    </row>
    <row r="1514" spans="1:5" hidden="1" x14ac:dyDescent="0.3">
      <c r="A1514" t="s">
        <v>371</v>
      </c>
      <c r="B1514" t="s">
        <v>372</v>
      </c>
      <c r="C1514" s="1">
        <v>30042</v>
      </c>
      <c r="D1514" t="s">
        <v>148</v>
      </c>
      <c r="E1514">
        <v>27.47</v>
      </c>
    </row>
    <row r="1515" spans="1:5" hidden="1" x14ac:dyDescent="0.3">
      <c r="A1515" t="s">
        <v>5</v>
      </c>
      <c r="B1515" t="s">
        <v>6</v>
      </c>
      <c r="C1515" s="1">
        <v>29952</v>
      </c>
      <c r="D1515" t="s">
        <v>147</v>
      </c>
      <c r="E1515">
        <v>-2.19</v>
      </c>
    </row>
    <row r="1516" spans="1:5" hidden="1" x14ac:dyDescent="0.3">
      <c r="A1516" t="s">
        <v>325</v>
      </c>
      <c r="B1516" t="s">
        <v>326</v>
      </c>
      <c r="C1516" s="1">
        <v>29952</v>
      </c>
      <c r="D1516" t="s">
        <v>147</v>
      </c>
      <c r="E1516">
        <v>9.0399999999999991</v>
      </c>
    </row>
    <row r="1517" spans="1:5" hidden="1" x14ac:dyDescent="0.3">
      <c r="A1517" t="s">
        <v>327</v>
      </c>
      <c r="B1517" t="s">
        <v>328</v>
      </c>
      <c r="C1517" s="1">
        <v>29952</v>
      </c>
      <c r="D1517" t="s">
        <v>147</v>
      </c>
      <c r="E1517">
        <v>6.85</v>
      </c>
    </row>
    <row r="1518" spans="1:5" x14ac:dyDescent="0.3">
      <c r="A1518" t="s">
        <v>329</v>
      </c>
      <c r="B1518" t="s">
        <v>330</v>
      </c>
      <c r="C1518" s="1">
        <v>29952</v>
      </c>
      <c r="D1518" t="s">
        <v>147</v>
      </c>
      <c r="E1518">
        <v>-14.14</v>
      </c>
    </row>
    <row r="1519" spans="1:5" hidden="1" x14ac:dyDescent="0.3">
      <c r="A1519" t="s">
        <v>335</v>
      </c>
      <c r="B1519" t="s">
        <v>336</v>
      </c>
      <c r="C1519" s="1">
        <v>29952</v>
      </c>
      <c r="D1519" t="s">
        <v>147</v>
      </c>
      <c r="E1519">
        <v>-2.59</v>
      </c>
    </row>
    <row r="1520" spans="1:5" hidden="1" x14ac:dyDescent="0.3">
      <c r="A1520" t="s">
        <v>337</v>
      </c>
      <c r="B1520" t="s">
        <v>338</v>
      </c>
      <c r="C1520" s="1">
        <v>29952</v>
      </c>
      <c r="D1520" t="s">
        <v>147</v>
      </c>
      <c r="E1520">
        <v>-0.65</v>
      </c>
    </row>
    <row r="1521" spans="1:5" hidden="1" x14ac:dyDescent="0.3">
      <c r="A1521" t="s">
        <v>371</v>
      </c>
      <c r="B1521" t="s">
        <v>372</v>
      </c>
      <c r="C1521" s="1">
        <v>29952</v>
      </c>
      <c r="D1521" t="s">
        <v>147</v>
      </c>
      <c r="E1521">
        <v>18.829999999999998</v>
      </c>
    </row>
    <row r="1522" spans="1:5" hidden="1" x14ac:dyDescent="0.3">
      <c r="A1522" t="s">
        <v>5</v>
      </c>
      <c r="B1522" t="s">
        <v>6</v>
      </c>
      <c r="C1522" s="1">
        <v>29860</v>
      </c>
      <c r="D1522" t="s">
        <v>146</v>
      </c>
      <c r="E1522">
        <v>1.3</v>
      </c>
    </row>
    <row r="1523" spans="1:5" hidden="1" x14ac:dyDescent="0.3">
      <c r="A1523" t="s">
        <v>325</v>
      </c>
      <c r="B1523" t="s">
        <v>326</v>
      </c>
      <c r="C1523" s="1">
        <v>29860</v>
      </c>
      <c r="D1523" t="s">
        <v>146</v>
      </c>
      <c r="E1523">
        <v>10.25</v>
      </c>
    </row>
    <row r="1524" spans="1:5" hidden="1" x14ac:dyDescent="0.3">
      <c r="A1524" t="s">
        <v>327</v>
      </c>
      <c r="B1524" t="s">
        <v>328</v>
      </c>
      <c r="C1524" s="1">
        <v>29860</v>
      </c>
      <c r="D1524" t="s">
        <v>146</v>
      </c>
      <c r="E1524">
        <v>7.77</v>
      </c>
    </row>
    <row r="1525" spans="1:5" x14ac:dyDescent="0.3">
      <c r="A1525" t="s">
        <v>329</v>
      </c>
      <c r="B1525" t="s">
        <v>330</v>
      </c>
      <c r="C1525" s="1">
        <v>29860</v>
      </c>
      <c r="D1525" t="s">
        <v>146</v>
      </c>
      <c r="E1525">
        <v>-14.29</v>
      </c>
    </row>
    <row r="1526" spans="1:5" hidden="1" x14ac:dyDescent="0.3">
      <c r="A1526" t="s">
        <v>335</v>
      </c>
      <c r="B1526" t="s">
        <v>336</v>
      </c>
      <c r="C1526" s="1">
        <v>29860</v>
      </c>
      <c r="D1526" t="s">
        <v>146</v>
      </c>
      <c r="E1526">
        <v>-8.83</v>
      </c>
    </row>
    <row r="1527" spans="1:5" hidden="1" x14ac:dyDescent="0.3">
      <c r="A1527" t="s">
        <v>337</v>
      </c>
      <c r="B1527" t="s">
        <v>338</v>
      </c>
      <c r="C1527" s="1">
        <v>29860</v>
      </c>
      <c r="D1527" t="s">
        <v>146</v>
      </c>
      <c r="E1527">
        <v>0.47</v>
      </c>
    </row>
    <row r="1528" spans="1:5" hidden="1" x14ac:dyDescent="0.3">
      <c r="A1528" t="s">
        <v>371</v>
      </c>
      <c r="B1528" t="s">
        <v>372</v>
      </c>
      <c r="C1528" s="1">
        <v>29860</v>
      </c>
      <c r="D1528" t="s">
        <v>146</v>
      </c>
      <c r="E1528">
        <v>11.26</v>
      </c>
    </row>
    <row r="1529" spans="1:5" hidden="1" x14ac:dyDescent="0.3">
      <c r="A1529" t="s">
        <v>5</v>
      </c>
      <c r="B1529" t="s">
        <v>6</v>
      </c>
      <c r="C1529" s="1">
        <v>29768</v>
      </c>
      <c r="D1529" t="s">
        <v>145</v>
      </c>
      <c r="E1529">
        <v>4.33</v>
      </c>
    </row>
    <row r="1530" spans="1:5" hidden="1" x14ac:dyDescent="0.3">
      <c r="A1530" t="s">
        <v>325</v>
      </c>
      <c r="B1530" t="s">
        <v>326</v>
      </c>
      <c r="C1530" s="1">
        <v>29768</v>
      </c>
      <c r="D1530" t="s">
        <v>145</v>
      </c>
      <c r="E1530">
        <v>11.51</v>
      </c>
    </row>
    <row r="1531" spans="1:5" hidden="1" x14ac:dyDescent="0.3">
      <c r="A1531" t="s">
        <v>327</v>
      </c>
      <c r="B1531" t="s">
        <v>328</v>
      </c>
      <c r="C1531" s="1">
        <v>29768</v>
      </c>
      <c r="D1531" t="s">
        <v>145</v>
      </c>
      <c r="E1531">
        <v>7.96</v>
      </c>
    </row>
    <row r="1532" spans="1:5" x14ac:dyDescent="0.3">
      <c r="A1532" t="s">
        <v>329</v>
      </c>
      <c r="B1532" t="s">
        <v>330</v>
      </c>
      <c r="C1532" s="1">
        <v>29768</v>
      </c>
      <c r="D1532" t="s">
        <v>145</v>
      </c>
      <c r="E1532">
        <v>78.680000000000007</v>
      </c>
    </row>
    <row r="1533" spans="1:5" hidden="1" x14ac:dyDescent="0.3">
      <c r="A1533" t="s">
        <v>335</v>
      </c>
      <c r="B1533" t="s">
        <v>336</v>
      </c>
      <c r="C1533" s="1">
        <v>29768</v>
      </c>
      <c r="D1533" t="s">
        <v>145</v>
      </c>
      <c r="E1533">
        <v>10.38</v>
      </c>
    </row>
    <row r="1534" spans="1:5" hidden="1" x14ac:dyDescent="0.3">
      <c r="A1534" t="s">
        <v>337</v>
      </c>
      <c r="B1534" t="s">
        <v>338</v>
      </c>
      <c r="C1534" s="1">
        <v>29768</v>
      </c>
      <c r="D1534" t="s">
        <v>145</v>
      </c>
      <c r="E1534">
        <v>1.66</v>
      </c>
    </row>
    <row r="1535" spans="1:5" hidden="1" x14ac:dyDescent="0.3">
      <c r="A1535" t="s">
        <v>371</v>
      </c>
      <c r="B1535" t="s">
        <v>372</v>
      </c>
      <c r="C1535" s="1">
        <v>29768</v>
      </c>
      <c r="D1535" t="s">
        <v>145</v>
      </c>
      <c r="E1535">
        <v>-3.48</v>
      </c>
    </row>
    <row r="1536" spans="1:5" hidden="1" x14ac:dyDescent="0.3">
      <c r="A1536" t="s">
        <v>5</v>
      </c>
      <c r="B1536" t="s">
        <v>6</v>
      </c>
      <c r="C1536" s="1">
        <v>29677</v>
      </c>
      <c r="D1536" t="s">
        <v>144</v>
      </c>
      <c r="E1536">
        <v>2.97</v>
      </c>
    </row>
    <row r="1537" spans="1:5" hidden="1" x14ac:dyDescent="0.3">
      <c r="A1537" t="s">
        <v>325</v>
      </c>
      <c r="B1537" t="s">
        <v>326</v>
      </c>
      <c r="C1537" s="1">
        <v>29677</v>
      </c>
      <c r="D1537" t="s">
        <v>144</v>
      </c>
      <c r="E1537">
        <v>9.48</v>
      </c>
    </row>
    <row r="1538" spans="1:5" hidden="1" x14ac:dyDescent="0.3">
      <c r="A1538" t="s">
        <v>327</v>
      </c>
      <c r="B1538" t="s">
        <v>328</v>
      </c>
      <c r="C1538" s="1">
        <v>29677</v>
      </c>
      <c r="D1538" t="s">
        <v>144</v>
      </c>
      <c r="E1538">
        <v>9.43</v>
      </c>
    </row>
    <row r="1539" spans="1:5" x14ac:dyDescent="0.3">
      <c r="A1539" t="s">
        <v>329</v>
      </c>
      <c r="B1539" t="s">
        <v>330</v>
      </c>
      <c r="C1539" s="1">
        <v>29677</v>
      </c>
      <c r="D1539" t="s">
        <v>144</v>
      </c>
      <c r="E1539">
        <v>40.14</v>
      </c>
    </row>
    <row r="1540" spans="1:5" hidden="1" x14ac:dyDescent="0.3">
      <c r="A1540" t="s">
        <v>335</v>
      </c>
      <c r="B1540" t="s">
        <v>336</v>
      </c>
      <c r="C1540" s="1">
        <v>29677</v>
      </c>
      <c r="D1540" t="s">
        <v>144</v>
      </c>
      <c r="E1540">
        <v>35.99</v>
      </c>
    </row>
    <row r="1541" spans="1:5" hidden="1" x14ac:dyDescent="0.3">
      <c r="A1541" t="s">
        <v>337</v>
      </c>
      <c r="B1541" t="s">
        <v>338</v>
      </c>
      <c r="C1541" s="1">
        <v>29677</v>
      </c>
      <c r="D1541" t="s">
        <v>144</v>
      </c>
      <c r="E1541">
        <v>0.99</v>
      </c>
    </row>
    <row r="1542" spans="1:5" hidden="1" x14ac:dyDescent="0.3">
      <c r="A1542" t="s">
        <v>371</v>
      </c>
      <c r="B1542" t="s">
        <v>372</v>
      </c>
      <c r="C1542" s="1">
        <v>29677</v>
      </c>
      <c r="D1542" t="s">
        <v>144</v>
      </c>
      <c r="E1542">
        <v>0.91</v>
      </c>
    </row>
    <row r="1543" spans="1:5" hidden="1" x14ac:dyDescent="0.3">
      <c r="A1543" t="s">
        <v>5</v>
      </c>
      <c r="B1543" t="s">
        <v>6</v>
      </c>
      <c r="C1543" s="1">
        <v>29587</v>
      </c>
      <c r="D1543" t="s">
        <v>143</v>
      </c>
      <c r="E1543">
        <v>1.6</v>
      </c>
    </row>
    <row r="1544" spans="1:5" hidden="1" x14ac:dyDescent="0.3">
      <c r="A1544" t="s">
        <v>325</v>
      </c>
      <c r="B1544" t="s">
        <v>326</v>
      </c>
      <c r="C1544" s="1">
        <v>29587</v>
      </c>
      <c r="D1544" t="s">
        <v>143</v>
      </c>
      <c r="E1544">
        <v>10.7</v>
      </c>
    </row>
    <row r="1545" spans="1:5" hidden="1" x14ac:dyDescent="0.3">
      <c r="A1545" t="s">
        <v>327</v>
      </c>
      <c r="B1545" t="s">
        <v>328</v>
      </c>
      <c r="C1545" s="1">
        <v>29587</v>
      </c>
      <c r="D1545" t="s">
        <v>143</v>
      </c>
      <c r="E1545">
        <v>9.44</v>
      </c>
    </row>
    <row r="1546" spans="1:5" x14ac:dyDescent="0.3">
      <c r="A1546" t="s">
        <v>329</v>
      </c>
      <c r="B1546" t="s">
        <v>330</v>
      </c>
      <c r="C1546" s="1">
        <v>29587</v>
      </c>
      <c r="D1546" t="s">
        <v>143</v>
      </c>
      <c r="E1546">
        <v>10.119999999999999</v>
      </c>
    </row>
    <row r="1547" spans="1:5" hidden="1" x14ac:dyDescent="0.3">
      <c r="A1547" t="s">
        <v>335</v>
      </c>
      <c r="B1547" t="s">
        <v>336</v>
      </c>
      <c r="C1547" s="1">
        <v>29587</v>
      </c>
      <c r="D1547" t="s">
        <v>143</v>
      </c>
      <c r="E1547">
        <v>7.56</v>
      </c>
    </row>
    <row r="1548" spans="1:5" hidden="1" x14ac:dyDescent="0.3">
      <c r="A1548" t="s">
        <v>337</v>
      </c>
      <c r="B1548" t="s">
        <v>338</v>
      </c>
      <c r="C1548" s="1">
        <v>29587</v>
      </c>
      <c r="D1548" t="s">
        <v>143</v>
      </c>
      <c r="E1548">
        <v>0.25</v>
      </c>
    </row>
    <row r="1549" spans="1:5" hidden="1" x14ac:dyDescent="0.3">
      <c r="A1549" t="s">
        <v>371</v>
      </c>
      <c r="B1549" t="s">
        <v>372</v>
      </c>
      <c r="C1549" s="1">
        <v>29587</v>
      </c>
      <c r="D1549" t="s">
        <v>143</v>
      </c>
      <c r="E1549">
        <v>17.98</v>
      </c>
    </row>
    <row r="1550" spans="1:5" hidden="1" x14ac:dyDescent="0.3">
      <c r="A1550" t="s">
        <v>5</v>
      </c>
      <c r="B1550" t="s">
        <v>6</v>
      </c>
      <c r="C1550" s="1">
        <v>29495</v>
      </c>
      <c r="D1550" t="s">
        <v>142</v>
      </c>
      <c r="E1550">
        <v>-0.04</v>
      </c>
    </row>
    <row r="1551" spans="1:5" hidden="1" x14ac:dyDescent="0.3">
      <c r="A1551" t="s">
        <v>325</v>
      </c>
      <c r="B1551" t="s">
        <v>326</v>
      </c>
      <c r="C1551" s="1">
        <v>29495</v>
      </c>
      <c r="D1551" t="s">
        <v>142</v>
      </c>
      <c r="E1551">
        <v>12.16</v>
      </c>
    </row>
    <row r="1552" spans="1:5" hidden="1" x14ac:dyDescent="0.3">
      <c r="A1552" t="s">
        <v>327</v>
      </c>
      <c r="B1552" t="s">
        <v>328</v>
      </c>
      <c r="C1552" s="1">
        <v>29495</v>
      </c>
      <c r="D1552" t="s">
        <v>142</v>
      </c>
      <c r="E1552">
        <v>11.11</v>
      </c>
    </row>
    <row r="1553" spans="1:5" x14ac:dyDescent="0.3">
      <c r="A1553" t="s">
        <v>329</v>
      </c>
      <c r="B1553" t="s">
        <v>330</v>
      </c>
      <c r="C1553" s="1">
        <v>29495</v>
      </c>
      <c r="D1553" t="s">
        <v>142</v>
      </c>
      <c r="E1553">
        <v>16.760000000000002</v>
      </c>
    </row>
    <row r="1554" spans="1:5" hidden="1" x14ac:dyDescent="0.3">
      <c r="A1554" t="s">
        <v>335</v>
      </c>
      <c r="B1554" t="s">
        <v>336</v>
      </c>
      <c r="C1554" s="1">
        <v>29495</v>
      </c>
      <c r="D1554" t="s">
        <v>142</v>
      </c>
      <c r="E1554">
        <v>15.99</v>
      </c>
    </row>
    <row r="1555" spans="1:5" hidden="1" x14ac:dyDescent="0.3">
      <c r="A1555" t="s">
        <v>337</v>
      </c>
      <c r="B1555" t="s">
        <v>338</v>
      </c>
      <c r="C1555" s="1">
        <v>29495</v>
      </c>
      <c r="D1555" t="s">
        <v>142</v>
      </c>
      <c r="E1555">
        <v>0.17</v>
      </c>
    </row>
    <row r="1556" spans="1:5" hidden="1" x14ac:dyDescent="0.3">
      <c r="A1556" t="s">
        <v>371</v>
      </c>
      <c r="B1556" t="s">
        <v>372</v>
      </c>
      <c r="C1556" s="1">
        <v>29495</v>
      </c>
      <c r="D1556" t="s">
        <v>142</v>
      </c>
      <c r="E1556">
        <v>24.02</v>
      </c>
    </row>
    <row r="1557" spans="1:5" hidden="1" x14ac:dyDescent="0.3">
      <c r="A1557" t="s">
        <v>5</v>
      </c>
      <c r="B1557" t="s">
        <v>6</v>
      </c>
      <c r="C1557" s="1">
        <v>29403</v>
      </c>
      <c r="D1557" t="s">
        <v>141</v>
      </c>
      <c r="E1557">
        <v>-1.62</v>
      </c>
    </row>
    <row r="1558" spans="1:5" hidden="1" x14ac:dyDescent="0.3">
      <c r="A1558" t="s">
        <v>325</v>
      </c>
      <c r="B1558" t="s">
        <v>326</v>
      </c>
      <c r="C1558" s="1">
        <v>29403</v>
      </c>
      <c r="D1558" t="s">
        <v>141</v>
      </c>
      <c r="E1558">
        <v>12.07</v>
      </c>
    </row>
    <row r="1559" spans="1:5" hidden="1" x14ac:dyDescent="0.3">
      <c r="A1559" t="s">
        <v>327</v>
      </c>
      <c r="B1559" t="s">
        <v>328</v>
      </c>
      <c r="C1559" s="1">
        <v>29403</v>
      </c>
      <c r="D1559" t="s">
        <v>141</v>
      </c>
      <c r="E1559">
        <v>11.77</v>
      </c>
    </row>
    <row r="1560" spans="1:5" x14ac:dyDescent="0.3">
      <c r="A1560" t="s">
        <v>329</v>
      </c>
      <c r="B1560" t="s">
        <v>330</v>
      </c>
      <c r="C1560" s="1">
        <v>29403</v>
      </c>
      <c r="D1560" t="s">
        <v>141</v>
      </c>
      <c r="E1560">
        <v>-10.14</v>
      </c>
    </row>
    <row r="1561" spans="1:5" hidden="1" x14ac:dyDescent="0.3">
      <c r="A1561" t="s">
        <v>335</v>
      </c>
      <c r="B1561" t="s">
        <v>336</v>
      </c>
      <c r="C1561" s="1">
        <v>29403</v>
      </c>
      <c r="D1561" t="s">
        <v>141</v>
      </c>
      <c r="E1561">
        <v>6.11</v>
      </c>
    </row>
    <row r="1562" spans="1:5" hidden="1" x14ac:dyDescent="0.3">
      <c r="A1562" t="s">
        <v>337</v>
      </c>
      <c r="B1562" t="s">
        <v>338</v>
      </c>
      <c r="C1562" s="1">
        <v>29403</v>
      </c>
      <c r="D1562" t="s">
        <v>141</v>
      </c>
      <c r="E1562">
        <v>-0.26</v>
      </c>
    </row>
    <row r="1563" spans="1:5" hidden="1" x14ac:dyDescent="0.3">
      <c r="A1563" t="s">
        <v>371</v>
      </c>
      <c r="B1563" t="s">
        <v>372</v>
      </c>
      <c r="C1563" s="1">
        <v>29403</v>
      </c>
      <c r="D1563" t="s">
        <v>141</v>
      </c>
      <c r="E1563">
        <v>30.68</v>
      </c>
    </row>
    <row r="1564" spans="1:5" hidden="1" x14ac:dyDescent="0.3">
      <c r="A1564" t="s">
        <v>5</v>
      </c>
      <c r="B1564" t="s">
        <v>6</v>
      </c>
      <c r="C1564" s="1">
        <v>29312</v>
      </c>
      <c r="D1564" t="s">
        <v>140</v>
      </c>
      <c r="E1564">
        <v>-0.78</v>
      </c>
    </row>
    <row r="1565" spans="1:5" hidden="1" x14ac:dyDescent="0.3">
      <c r="A1565" t="s">
        <v>325</v>
      </c>
      <c r="B1565" t="s">
        <v>326</v>
      </c>
      <c r="C1565" s="1">
        <v>29312</v>
      </c>
      <c r="D1565" t="s">
        <v>140</v>
      </c>
      <c r="E1565">
        <v>13.28</v>
      </c>
    </row>
    <row r="1566" spans="1:5" hidden="1" x14ac:dyDescent="0.3">
      <c r="A1566" t="s">
        <v>327</v>
      </c>
      <c r="B1566" t="s">
        <v>328</v>
      </c>
      <c r="C1566" s="1">
        <v>29312</v>
      </c>
      <c r="D1566" t="s">
        <v>140</v>
      </c>
      <c r="E1566">
        <v>10.93</v>
      </c>
    </row>
    <row r="1567" spans="1:5" x14ac:dyDescent="0.3">
      <c r="A1567" t="s">
        <v>329</v>
      </c>
      <c r="B1567" t="s">
        <v>330</v>
      </c>
      <c r="C1567" s="1">
        <v>29312</v>
      </c>
      <c r="D1567" t="s">
        <v>140</v>
      </c>
      <c r="E1567">
        <v>24.63</v>
      </c>
    </row>
    <row r="1568" spans="1:5" hidden="1" x14ac:dyDescent="0.3">
      <c r="A1568" t="s">
        <v>335</v>
      </c>
      <c r="B1568" t="s">
        <v>336</v>
      </c>
      <c r="C1568" s="1">
        <v>29312</v>
      </c>
      <c r="D1568" t="s">
        <v>140</v>
      </c>
      <c r="E1568">
        <v>-18.41</v>
      </c>
    </row>
    <row r="1569" spans="1:5" hidden="1" x14ac:dyDescent="0.3">
      <c r="A1569" t="s">
        <v>337</v>
      </c>
      <c r="B1569" t="s">
        <v>338</v>
      </c>
      <c r="C1569" s="1">
        <v>29312</v>
      </c>
      <c r="D1569" t="s">
        <v>140</v>
      </c>
      <c r="E1569">
        <v>0.76</v>
      </c>
    </row>
    <row r="1570" spans="1:5" hidden="1" x14ac:dyDescent="0.3">
      <c r="A1570" t="s">
        <v>371</v>
      </c>
      <c r="B1570" t="s">
        <v>372</v>
      </c>
      <c r="C1570" s="1">
        <v>29312</v>
      </c>
      <c r="D1570" t="s">
        <v>140</v>
      </c>
      <c r="E1570">
        <v>28.65</v>
      </c>
    </row>
    <row r="1571" spans="1:5" hidden="1" x14ac:dyDescent="0.3">
      <c r="A1571" t="s">
        <v>5</v>
      </c>
      <c r="B1571" t="s">
        <v>6</v>
      </c>
      <c r="C1571" s="1">
        <v>29221</v>
      </c>
      <c r="D1571" t="s">
        <v>139</v>
      </c>
      <c r="E1571">
        <v>1.42</v>
      </c>
    </row>
    <row r="1572" spans="1:5" hidden="1" x14ac:dyDescent="0.3">
      <c r="A1572" t="s">
        <v>325</v>
      </c>
      <c r="B1572" t="s">
        <v>326</v>
      </c>
      <c r="C1572" s="1">
        <v>29221</v>
      </c>
      <c r="D1572" t="s">
        <v>139</v>
      </c>
      <c r="E1572">
        <v>12.19</v>
      </c>
    </row>
    <row r="1573" spans="1:5" hidden="1" x14ac:dyDescent="0.3">
      <c r="A1573" t="s">
        <v>327</v>
      </c>
      <c r="B1573" t="s">
        <v>328</v>
      </c>
      <c r="C1573" s="1">
        <v>29221</v>
      </c>
      <c r="D1573" t="s">
        <v>139</v>
      </c>
      <c r="E1573">
        <v>10.81</v>
      </c>
    </row>
    <row r="1574" spans="1:5" x14ac:dyDescent="0.3">
      <c r="A1574" t="s">
        <v>329</v>
      </c>
      <c r="B1574" t="s">
        <v>330</v>
      </c>
      <c r="C1574" s="1">
        <v>29221</v>
      </c>
      <c r="D1574" t="s">
        <v>139</v>
      </c>
      <c r="E1574">
        <v>49.38</v>
      </c>
    </row>
    <row r="1575" spans="1:5" hidden="1" x14ac:dyDescent="0.3">
      <c r="A1575" t="s">
        <v>335</v>
      </c>
      <c r="B1575" t="s">
        <v>336</v>
      </c>
      <c r="C1575" s="1">
        <v>29221</v>
      </c>
      <c r="D1575" t="s">
        <v>139</v>
      </c>
      <c r="E1575">
        <v>-11.19</v>
      </c>
    </row>
    <row r="1576" spans="1:5" hidden="1" x14ac:dyDescent="0.3">
      <c r="A1576" t="s">
        <v>337</v>
      </c>
      <c r="B1576" t="s">
        <v>338</v>
      </c>
      <c r="C1576" s="1">
        <v>29221</v>
      </c>
      <c r="D1576" t="s">
        <v>139</v>
      </c>
      <c r="E1576">
        <v>2</v>
      </c>
    </row>
    <row r="1577" spans="1:5" hidden="1" x14ac:dyDescent="0.3">
      <c r="A1577" t="s">
        <v>371</v>
      </c>
      <c r="B1577" t="s">
        <v>372</v>
      </c>
      <c r="C1577" s="1">
        <v>29221</v>
      </c>
      <c r="D1577" t="s">
        <v>139</v>
      </c>
      <c r="E1577">
        <v>7.38</v>
      </c>
    </row>
    <row r="1578" spans="1:5" hidden="1" x14ac:dyDescent="0.3">
      <c r="A1578" t="s">
        <v>5</v>
      </c>
      <c r="B1578" t="s">
        <v>6</v>
      </c>
      <c r="C1578" s="1">
        <v>29129</v>
      </c>
      <c r="D1578" t="s">
        <v>138</v>
      </c>
      <c r="E1578">
        <v>1.28</v>
      </c>
    </row>
    <row r="1579" spans="1:5" hidden="1" x14ac:dyDescent="0.3">
      <c r="A1579" t="s">
        <v>325</v>
      </c>
      <c r="B1579" t="s">
        <v>326</v>
      </c>
      <c r="C1579" s="1">
        <v>29129</v>
      </c>
      <c r="D1579" t="s">
        <v>138</v>
      </c>
      <c r="E1579">
        <v>10.7</v>
      </c>
    </row>
    <row r="1580" spans="1:5" hidden="1" x14ac:dyDescent="0.3">
      <c r="A1580" t="s">
        <v>327</v>
      </c>
      <c r="B1580" t="s">
        <v>328</v>
      </c>
      <c r="C1580" s="1">
        <v>29129</v>
      </c>
      <c r="D1580" t="s">
        <v>138</v>
      </c>
      <c r="E1580">
        <v>9.4</v>
      </c>
    </row>
    <row r="1581" spans="1:5" x14ac:dyDescent="0.3">
      <c r="A1581" t="s">
        <v>329</v>
      </c>
      <c r="B1581" t="s">
        <v>330</v>
      </c>
      <c r="C1581" s="1">
        <v>29129</v>
      </c>
      <c r="D1581" t="s">
        <v>138</v>
      </c>
      <c r="E1581">
        <v>41.68</v>
      </c>
    </row>
    <row r="1582" spans="1:5" hidden="1" x14ac:dyDescent="0.3">
      <c r="A1582" t="s">
        <v>335</v>
      </c>
      <c r="B1582" t="s">
        <v>336</v>
      </c>
      <c r="C1582" s="1">
        <v>29129</v>
      </c>
      <c r="D1582" t="s">
        <v>138</v>
      </c>
      <c r="E1582">
        <v>-15.43</v>
      </c>
    </row>
    <row r="1583" spans="1:5" hidden="1" x14ac:dyDescent="0.3">
      <c r="A1583" t="s">
        <v>337</v>
      </c>
      <c r="B1583" t="s">
        <v>338</v>
      </c>
      <c r="C1583" s="1">
        <v>29129</v>
      </c>
      <c r="D1583" t="s">
        <v>138</v>
      </c>
      <c r="E1583">
        <v>2.5299999999999998</v>
      </c>
    </row>
    <row r="1584" spans="1:5" hidden="1" x14ac:dyDescent="0.3">
      <c r="A1584" t="s">
        <v>371</v>
      </c>
      <c r="B1584" t="s">
        <v>372</v>
      </c>
      <c r="C1584" s="1">
        <v>29129</v>
      </c>
      <c r="D1584" t="s">
        <v>138</v>
      </c>
      <c r="E1584">
        <v>1.1399999999999999</v>
      </c>
    </row>
    <row r="1585" spans="1:5" hidden="1" x14ac:dyDescent="0.3">
      <c r="A1585" t="s">
        <v>5</v>
      </c>
      <c r="B1585" t="s">
        <v>6</v>
      </c>
      <c r="C1585" s="1">
        <v>29037</v>
      </c>
      <c r="D1585" t="s">
        <v>137</v>
      </c>
      <c r="E1585">
        <v>2.39</v>
      </c>
    </row>
    <row r="1586" spans="1:5" hidden="1" x14ac:dyDescent="0.3">
      <c r="A1586" t="s">
        <v>325</v>
      </c>
      <c r="B1586" t="s">
        <v>326</v>
      </c>
      <c r="C1586" s="1">
        <v>29037</v>
      </c>
      <c r="D1586" t="s">
        <v>137</v>
      </c>
      <c r="E1586">
        <v>9.83</v>
      </c>
    </row>
    <row r="1587" spans="1:5" hidden="1" x14ac:dyDescent="0.3">
      <c r="A1587" t="s">
        <v>327</v>
      </c>
      <c r="B1587" t="s">
        <v>328</v>
      </c>
      <c r="C1587" s="1">
        <v>29037</v>
      </c>
      <c r="D1587" t="s">
        <v>137</v>
      </c>
      <c r="E1587">
        <v>8.42</v>
      </c>
    </row>
    <row r="1588" spans="1:5" x14ac:dyDescent="0.3">
      <c r="A1588" t="s">
        <v>329</v>
      </c>
      <c r="B1588" t="s">
        <v>330</v>
      </c>
      <c r="C1588" s="1">
        <v>29037</v>
      </c>
      <c r="D1588" t="s">
        <v>137</v>
      </c>
      <c r="E1588">
        <v>35.15</v>
      </c>
    </row>
    <row r="1589" spans="1:5" hidden="1" x14ac:dyDescent="0.3">
      <c r="A1589" t="s">
        <v>335</v>
      </c>
      <c r="B1589" t="s">
        <v>336</v>
      </c>
      <c r="C1589" s="1">
        <v>29037</v>
      </c>
      <c r="D1589" t="s">
        <v>137</v>
      </c>
      <c r="E1589">
        <v>-20.56</v>
      </c>
    </row>
    <row r="1590" spans="1:5" hidden="1" x14ac:dyDescent="0.3">
      <c r="A1590" t="s">
        <v>337</v>
      </c>
      <c r="B1590" t="s">
        <v>338</v>
      </c>
      <c r="C1590" s="1">
        <v>29037</v>
      </c>
      <c r="D1590" t="s">
        <v>137</v>
      </c>
      <c r="E1590">
        <v>3.25</v>
      </c>
    </row>
    <row r="1591" spans="1:5" hidden="1" x14ac:dyDescent="0.3">
      <c r="A1591" t="s">
        <v>371</v>
      </c>
      <c r="B1591" t="s">
        <v>372</v>
      </c>
      <c r="C1591" s="1">
        <v>29037</v>
      </c>
      <c r="D1591" t="s">
        <v>137</v>
      </c>
      <c r="E1591">
        <v>-2.75</v>
      </c>
    </row>
    <row r="1592" spans="1:5" hidden="1" x14ac:dyDescent="0.3">
      <c r="A1592" t="s">
        <v>5</v>
      </c>
      <c r="B1592" t="s">
        <v>6</v>
      </c>
      <c r="C1592" s="1">
        <v>28946</v>
      </c>
      <c r="D1592" t="s">
        <v>136</v>
      </c>
      <c r="E1592">
        <v>2.66</v>
      </c>
    </row>
    <row r="1593" spans="1:5" hidden="1" x14ac:dyDescent="0.3">
      <c r="A1593" t="s">
        <v>325</v>
      </c>
      <c r="B1593" t="s">
        <v>326</v>
      </c>
      <c r="C1593" s="1">
        <v>28946</v>
      </c>
      <c r="D1593" t="s">
        <v>136</v>
      </c>
      <c r="E1593">
        <v>9.3699999999999992</v>
      </c>
    </row>
    <row r="1594" spans="1:5" hidden="1" x14ac:dyDescent="0.3">
      <c r="A1594" t="s">
        <v>327</v>
      </c>
      <c r="B1594" t="s">
        <v>328</v>
      </c>
      <c r="C1594" s="1">
        <v>28946</v>
      </c>
      <c r="D1594" t="s">
        <v>136</v>
      </c>
      <c r="E1594">
        <v>8.9</v>
      </c>
    </row>
    <row r="1595" spans="1:5" x14ac:dyDescent="0.3">
      <c r="A1595" t="s">
        <v>329</v>
      </c>
      <c r="B1595" t="s">
        <v>330</v>
      </c>
      <c r="C1595" s="1">
        <v>28946</v>
      </c>
      <c r="D1595" t="s">
        <v>136</v>
      </c>
      <c r="E1595">
        <v>39.78</v>
      </c>
    </row>
    <row r="1596" spans="1:5" hidden="1" x14ac:dyDescent="0.3">
      <c r="A1596" t="s">
        <v>335</v>
      </c>
      <c r="B1596" t="s">
        <v>336</v>
      </c>
      <c r="C1596" s="1">
        <v>28946</v>
      </c>
      <c r="D1596" t="s">
        <v>136</v>
      </c>
      <c r="E1596">
        <v>-18.239999999999998</v>
      </c>
    </row>
    <row r="1597" spans="1:5" hidden="1" x14ac:dyDescent="0.3">
      <c r="A1597" t="s">
        <v>337</v>
      </c>
      <c r="B1597" t="s">
        <v>338</v>
      </c>
      <c r="C1597" s="1">
        <v>28946</v>
      </c>
      <c r="D1597" t="s">
        <v>136</v>
      </c>
      <c r="E1597">
        <v>3.73</v>
      </c>
    </row>
    <row r="1598" spans="1:5" hidden="1" x14ac:dyDescent="0.3">
      <c r="A1598" t="s">
        <v>371</v>
      </c>
      <c r="B1598" t="s">
        <v>372</v>
      </c>
      <c r="C1598" s="1">
        <v>28946</v>
      </c>
      <c r="D1598" t="s">
        <v>136</v>
      </c>
      <c r="E1598">
        <v>-5</v>
      </c>
    </row>
    <row r="1599" spans="1:5" hidden="1" x14ac:dyDescent="0.3">
      <c r="A1599" t="s">
        <v>5</v>
      </c>
      <c r="B1599" t="s">
        <v>6</v>
      </c>
      <c r="C1599" s="1">
        <v>28856</v>
      </c>
      <c r="D1599" t="s">
        <v>135</v>
      </c>
      <c r="E1599">
        <v>6.51</v>
      </c>
    </row>
    <row r="1600" spans="1:5" hidden="1" x14ac:dyDescent="0.3">
      <c r="A1600" t="s">
        <v>325</v>
      </c>
      <c r="B1600" t="s">
        <v>326</v>
      </c>
      <c r="C1600" s="1">
        <v>28856</v>
      </c>
      <c r="D1600" t="s">
        <v>135</v>
      </c>
      <c r="E1600">
        <v>9.0399999999999991</v>
      </c>
    </row>
    <row r="1601" spans="1:5" hidden="1" x14ac:dyDescent="0.3">
      <c r="A1601" t="s">
        <v>327</v>
      </c>
      <c r="B1601" t="s">
        <v>328</v>
      </c>
      <c r="C1601" s="1">
        <v>28856</v>
      </c>
      <c r="D1601" t="s">
        <v>135</v>
      </c>
      <c r="E1601">
        <v>9.11</v>
      </c>
    </row>
    <row r="1602" spans="1:5" x14ac:dyDescent="0.3">
      <c r="A1602" t="s">
        <v>329</v>
      </c>
      <c r="B1602" t="s">
        <v>330</v>
      </c>
      <c r="C1602" s="1">
        <v>28856</v>
      </c>
      <c r="D1602" t="s">
        <v>135</v>
      </c>
      <c r="E1602">
        <v>49.08</v>
      </c>
    </row>
    <row r="1603" spans="1:5" hidden="1" x14ac:dyDescent="0.3">
      <c r="A1603" t="s">
        <v>335</v>
      </c>
      <c r="B1603" t="s">
        <v>336</v>
      </c>
      <c r="C1603" s="1">
        <v>28856</v>
      </c>
      <c r="D1603" t="s">
        <v>135</v>
      </c>
      <c r="E1603">
        <v>-13.13</v>
      </c>
    </row>
    <row r="1604" spans="1:5" hidden="1" x14ac:dyDescent="0.3">
      <c r="A1604" t="s">
        <v>337</v>
      </c>
      <c r="B1604" t="s">
        <v>338</v>
      </c>
      <c r="C1604" s="1">
        <v>28856</v>
      </c>
      <c r="D1604" t="s">
        <v>135</v>
      </c>
      <c r="E1604">
        <v>4.84</v>
      </c>
    </row>
    <row r="1605" spans="1:5" hidden="1" x14ac:dyDescent="0.3">
      <c r="A1605" t="s">
        <v>371</v>
      </c>
      <c r="B1605" t="s">
        <v>372</v>
      </c>
      <c r="C1605" s="1">
        <v>28856</v>
      </c>
      <c r="D1605" t="s">
        <v>135</v>
      </c>
      <c r="E1605">
        <v>-7.36</v>
      </c>
    </row>
    <row r="1606" spans="1:5" hidden="1" x14ac:dyDescent="0.3">
      <c r="A1606" t="s">
        <v>5</v>
      </c>
      <c r="B1606" t="s">
        <v>6</v>
      </c>
      <c r="C1606" s="1">
        <v>28764</v>
      </c>
      <c r="D1606" t="s">
        <v>134</v>
      </c>
      <c r="E1606">
        <v>6.66</v>
      </c>
    </row>
    <row r="1607" spans="1:5" hidden="1" x14ac:dyDescent="0.3">
      <c r="A1607" t="s">
        <v>325</v>
      </c>
      <c r="B1607" t="s">
        <v>326</v>
      </c>
      <c r="C1607" s="1">
        <v>28764</v>
      </c>
      <c r="D1607" t="s">
        <v>134</v>
      </c>
      <c r="E1607">
        <v>8.4499999999999993</v>
      </c>
    </row>
    <row r="1608" spans="1:5" hidden="1" x14ac:dyDescent="0.3">
      <c r="A1608" t="s">
        <v>327</v>
      </c>
      <c r="B1608" t="s">
        <v>328</v>
      </c>
      <c r="C1608" s="1">
        <v>28764</v>
      </c>
      <c r="D1608" t="s">
        <v>134</v>
      </c>
      <c r="E1608">
        <v>7.86</v>
      </c>
    </row>
    <row r="1609" spans="1:5" x14ac:dyDescent="0.3">
      <c r="A1609" t="s">
        <v>329</v>
      </c>
      <c r="B1609" t="s">
        <v>330</v>
      </c>
      <c r="C1609" s="1">
        <v>28764</v>
      </c>
      <c r="D1609" t="s">
        <v>134</v>
      </c>
      <c r="E1609">
        <v>47.14</v>
      </c>
    </row>
    <row r="1610" spans="1:5" hidden="1" x14ac:dyDescent="0.3">
      <c r="A1610" t="s">
        <v>335</v>
      </c>
      <c r="B1610" t="s">
        <v>336</v>
      </c>
      <c r="C1610" s="1">
        <v>28764</v>
      </c>
      <c r="D1610" t="s">
        <v>134</v>
      </c>
    </row>
    <row r="1611" spans="1:5" hidden="1" x14ac:dyDescent="0.3">
      <c r="A1611" t="s">
        <v>337</v>
      </c>
      <c r="B1611" t="s">
        <v>338</v>
      </c>
      <c r="C1611" s="1">
        <v>28764</v>
      </c>
      <c r="D1611" t="s">
        <v>134</v>
      </c>
      <c r="E1611">
        <v>5.01</v>
      </c>
    </row>
    <row r="1612" spans="1:5" hidden="1" x14ac:dyDescent="0.3">
      <c r="A1612" t="s">
        <v>371</v>
      </c>
      <c r="B1612" t="s">
        <v>372</v>
      </c>
      <c r="C1612" s="1">
        <v>28764</v>
      </c>
      <c r="D1612" t="s">
        <v>134</v>
      </c>
      <c r="E1612">
        <v>-11.5</v>
      </c>
    </row>
    <row r="1613" spans="1:5" hidden="1" x14ac:dyDescent="0.3">
      <c r="A1613" t="s">
        <v>5</v>
      </c>
      <c r="B1613" t="s">
        <v>6</v>
      </c>
      <c r="C1613" s="1">
        <v>28672</v>
      </c>
      <c r="D1613" t="s">
        <v>133</v>
      </c>
      <c r="E1613">
        <v>5.25</v>
      </c>
    </row>
    <row r="1614" spans="1:5" hidden="1" x14ac:dyDescent="0.3">
      <c r="A1614" t="s">
        <v>325</v>
      </c>
      <c r="B1614" t="s">
        <v>326</v>
      </c>
      <c r="C1614" s="1">
        <v>28672</v>
      </c>
      <c r="D1614" t="s">
        <v>133</v>
      </c>
      <c r="E1614">
        <v>7.53</v>
      </c>
    </row>
    <row r="1615" spans="1:5" hidden="1" x14ac:dyDescent="0.3">
      <c r="A1615" t="s">
        <v>327</v>
      </c>
      <c r="B1615" t="s">
        <v>328</v>
      </c>
      <c r="C1615" s="1">
        <v>28672</v>
      </c>
      <c r="D1615" t="s">
        <v>133</v>
      </c>
      <c r="E1615">
        <v>8.27</v>
      </c>
    </row>
    <row r="1616" spans="1:5" x14ac:dyDescent="0.3">
      <c r="A1616" t="s">
        <v>329</v>
      </c>
      <c r="B1616" t="s">
        <v>330</v>
      </c>
      <c r="C1616" s="1">
        <v>28672</v>
      </c>
      <c r="D1616" t="s">
        <v>133</v>
      </c>
      <c r="E1616">
        <v>39.18</v>
      </c>
    </row>
    <row r="1617" spans="1:5" hidden="1" x14ac:dyDescent="0.3">
      <c r="A1617" t="s">
        <v>335</v>
      </c>
      <c r="B1617" t="s">
        <v>336</v>
      </c>
      <c r="C1617" s="1">
        <v>28672</v>
      </c>
      <c r="D1617" t="s">
        <v>133</v>
      </c>
    </row>
    <row r="1618" spans="1:5" hidden="1" x14ac:dyDescent="0.3">
      <c r="A1618" t="s">
        <v>337</v>
      </c>
      <c r="B1618" t="s">
        <v>338</v>
      </c>
      <c r="C1618" s="1">
        <v>28672</v>
      </c>
      <c r="D1618" t="s">
        <v>133</v>
      </c>
      <c r="E1618">
        <v>5.16</v>
      </c>
    </row>
    <row r="1619" spans="1:5" hidden="1" x14ac:dyDescent="0.3">
      <c r="A1619" t="s">
        <v>371</v>
      </c>
      <c r="B1619" t="s">
        <v>372</v>
      </c>
      <c r="C1619" s="1">
        <v>28672</v>
      </c>
      <c r="D1619" t="s">
        <v>133</v>
      </c>
      <c r="E1619">
        <v>-12.57</v>
      </c>
    </row>
    <row r="1620" spans="1:5" hidden="1" x14ac:dyDescent="0.3">
      <c r="A1620" t="s">
        <v>5</v>
      </c>
      <c r="B1620" t="s">
        <v>6</v>
      </c>
      <c r="C1620" s="1">
        <v>28581</v>
      </c>
      <c r="D1620" t="s">
        <v>132</v>
      </c>
      <c r="E1620">
        <v>6.08</v>
      </c>
    </row>
    <row r="1621" spans="1:5" hidden="1" x14ac:dyDescent="0.3">
      <c r="A1621" t="s">
        <v>325</v>
      </c>
      <c r="B1621" t="s">
        <v>326</v>
      </c>
      <c r="C1621" s="1">
        <v>28581</v>
      </c>
      <c r="D1621" t="s">
        <v>132</v>
      </c>
      <c r="E1621">
        <v>6.76</v>
      </c>
    </row>
    <row r="1622" spans="1:5" hidden="1" x14ac:dyDescent="0.3">
      <c r="A1622" t="s">
        <v>327</v>
      </c>
      <c r="B1622" t="s">
        <v>328</v>
      </c>
      <c r="C1622" s="1">
        <v>28581</v>
      </c>
      <c r="D1622" t="s">
        <v>132</v>
      </c>
      <c r="E1622">
        <v>7.51</v>
      </c>
    </row>
    <row r="1623" spans="1:5" x14ac:dyDescent="0.3">
      <c r="A1623" t="s">
        <v>329</v>
      </c>
      <c r="B1623" t="s">
        <v>330</v>
      </c>
      <c r="C1623" s="1">
        <v>28581</v>
      </c>
      <c r="D1623" t="s">
        <v>132</v>
      </c>
      <c r="E1623">
        <v>41.23</v>
      </c>
    </row>
    <row r="1624" spans="1:5" hidden="1" x14ac:dyDescent="0.3">
      <c r="A1624" t="s">
        <v>335</v>
      </c>
      <c r="B1624" t="s">
        <v>336</v>
      </c>
      <c r="C1624" s="1">
        <v>28581</v>
      </c>
      <c r="D1624" t="s">
        <v>132</v>
      </c>
    </row>
    <row r="1625" spans="1:5" hidden="1" x14ac:dyDescent="0.3">
      <c r="A1625" t="s">
        <v>337</v>
      </c>
      <c r="B1625" t="s">
        <v>338</v>
      </c>
      <c r="C1625" s="1">
        <v>28581</v>
      </c>
      <c r="D1625" t="s">
        <v>132</v>
      </c>
      <c r="E1625">
        <v>5.41</v>
      </c>
    </row>
    <row r="1626" spans="1:5" hidden="1" x14ac:dyDescent="0.3">
      <c r="A1626" t="s">
        <v>371</v>
      </c>
      <c r="B1626" t="s">
        <v>372</v>
      </c>
      <c r="C1626" s="1">
        <v>28581</v>
      </c>
      <c r="D1626" t="s">
        <v>132</v>
      </c>
      <c r="E1626">
        <v>-15.88</v>
      </c>
    </row>
    <row r="1627" spans="1:5" hidden="1" x14ac:dyDescent="0.3">
      <c r="A1627" t="s">
        <v>5</v>
      </c>
      <c r="B1627" t="s">
        <v>6</v>
      </c>
      <c r="C1627" s="1">
        <v>28491</v>
      </c>
      <c r="D1627" t="s">
        <v>131</v>
      </c>
      <c r="E1627">
        <v>4.1100000000000003</v>
      </c>
    </row>
    <row r="1628" spans="1:5" hidden="1" x14ac:dyDescent="0.3">
      <c r="A1628" t="s">
        <v>325</v>
      </c>
      <c r="B1628" t="s">
        <v>326</v>
      </c>
      <c r="C1628" s="1">
        <v>28491</v>
      </c>
      <c r="D1628" t="s">
        <v>131</v>
      </c>
      <c r="E1628">
        <v>6.31</v>
      </c>
    </row>
    <row r="1629" spans="1:5" hidden="1" x14ac:dyDescent="0.3">
      <c r="A1629" t="s">
        <v>327</v>
      </c>
      <c r="B1629" t="s">
        <v>328</v>
      </c>
      <c r="C1629" s="1">
        <v>28491</v>
      </c>
      <c r="D1629" t="s">
        <v>131</v>
      </c>
      <c r="E1629">
        <v>6.32</v>
      </c>
    </row>
    <row r="1630" spans="1:5" x14ac:dyDescent="0.3">
      <c r="A1630" t="s">
        <v>329</v>
      </c>
      <c r="B1630" t="s">
        <v>330</v>
      </c>
      <c r="C1630" s="1">
        <v>28491</v>
      </c>
      <c r="D1630" t="s">
        <v>131</v>
      </c>
      <c r="E1630">
        <v>45</v>
      </c>
    </row>
    <row r="1631" spans="1:5" hidden="1" x14ac:dyDescent="0.3">
      <c r="A1631" t="s">
        <v>335</v>
      </c>
      <c r="B1631" t="s">
        <v>336</v>
      </c>
      <c r="C1631" s="1">
        <v>28491</v>
      </c>
      <c r="D1631" t="s">
        <v>131</v>
      </c>
    </row>
    <row r="1632" spans="1:5" hidden="1" x14ac:dyDescent="0.3">
      <c r="A1632" t="s">
        <v>337</v>
      </c>
      <c r="B1632" t="s">
        <v>338</v>
      </c>
      <c r="C1632" s="1">
        <v>28491</v>
      </c>
      <c r="D1632" t="s">
        <v>131</v>
      </c>
      <c r="E1632">
        <v>4.91</v>
      </c>
    </row>
    <row r="1633" spans="1:5" hidden="1" x14ac:dyDescent="0.3">
      <c r="A1633" t="s">
        <v>371</v>
      </c>
      <c r="B1633" t="s">
        <v>372</v>
      </c>
      <c r="C1633" s="1">
        <v>28491</v>
      </c>
      <c r="D1633" t="s">
        <v>131</v>
      </c>
      <c r="E1633">
        <v>-15.56</v>
      </c>
    </row>
    <row r="1634" spans="1:5" hidden="1" x14ac:dyDescent="0.3">
      <c r="A1634" t="s">
        <v>5</v>
      </c>
      <c r="B1634" t="s">
        <v>6</v>
      </c>
      <c r="C1634" s="1">
        <v>28399</v>
      </c>
      <c r="D1634" t="s">
        <v>130</v>
      </c>
      <c r="E1634">
        <v>5.01</v>
      </c>
    </row>
    <row r="1635" spans="1:5" hidden="1" x14ac:dyDescent="0.3">
      <c r="A1635" t="s">
        <v>325</v>
      </c>
      <c r="B1635" t="s">
        <v>326</v>
      </c>
      <c r="C1635" s="1">
        <v>28399</v>
      </c>
      <c r="D1635" t="s">
        <v>130</v>
      </c>
      <c r="E1635">
        <v>6.19</v>
      </c>
    </row>
    <row r="1636" spans="1:5" hidden="1" x14ac:dyDescent="0.3">
      <c r="A1636" t="s">
        <v>327</v>
      </c>
      <c r="B1636" t="s">
        <v>328</v>
      </c>
      <c r="C1636" s="1">
        <v>28399</v>
      </c>
      <c r="D1636" t="s">
        <v>130</v>
      </c>
      <c r="E1636">
        <v>6.41</v>
      </c>
    </row>
    <row r="1637" spans="1:5" x14ac:dyDescent="0.3">
      <c r="A1637" t="s">
        <v>329</v>
      </c>
      <c r="B1637" t="s">
        <v>330</v>
      </c>
      <c r="C1637" s="1">
        <v>28399</v>
      </c>
      <c r="D1637" t="s">
        <v>130</v>
      </c>
      <c r="E1637">
        <v>33.65</v>
      </c>
    </row>
    <row r="1638" spans="1:5" hidden="1" x14ac:dyDescent="0.3">
      <c r="A1638" t="s">
        <v>337</v>
      </c>
      <c r="B1638" t="s">
        <v>338</v>
      </c>
      <c r="C1638" s="1">
        <v>28399</v>
      </c>
      <c r="D1638" t="s">
        <v>130</v>
      </c>
      <c r="E1638">
        <v>4.9000000000000004</v>
      </c>
    </row>
    <row r="1639" spans="1:5" hidden="1" x14ac:dyDescent="0.3">
      <c r="A1639" t="s">
        <v>371</v>
      </c>
      <c r="B1639" t="s">
        <v>372</v>
      </c>
      <c r="C1639" s="1">
        <v>28399</v>
      </c>
      <c r="D1639" t="s">
        <v>130</v>
      </c>
      <c r="E1639">
        <v>-14.16</v>
      </c>
    </row>
    <row r="1640" spans="1:5" hidden="1" x14ac:dyDescent="0.3">
      <c r="A1640" t="s">
        <v>5</v>
      </c>
      <c r="B1640" t="s">
        <v>6</v>
      </c>
      <c r="C1640" s="1">
        <v>28307</v>
      </c>
      <c r="D1640" t="s">
        <v>129</v>
      </c>
      <c r="E1640">
        <v>5.77</v>
      </c>
    </row>
    <row r="1641" spans="1:5" hidden="1" x14ac:dyDescent="0.3">
      <c r="A1641" t="s">
        <v>325</v>
      </c>
      <c r="B1641" t="s">
        <v>326</v>
      </c>
      <c r="C1641" s="1">
        <v>28307</v>
      </c>
      <c r="D1641" t="s">
        <v>129</v>
      </c>
      <c r="E1641">
        <v>6.22</v>
      </c>
    </row>
    <row r="1642" spans="1:5" hidden="1" x14ac:dyDescent="0.3">
      <c r="A1642" t="s">
        <v>327</v>
      </c>
      <c r="B1642" t="s">
        <v>328</v>
      </c>
      <c r="C1642" s="1">
        <v>28307</v>
      </c>
      <c r="D1642" t="s">
        <v>129</v>
      </c>
      <c r="E1642">
        <v>5.98</v>
      </c>
    </row>
    <row r="1643" spans="1:5" x14ac:dyDescent="0.3">
      <c r="A1643" t="s">
        <v>329</v>
      </c>
      <c r="B1643" t="s">
        <v>330</v>
      </c>
      <c r="C1643" s="1">
        <v>28307</v>
      </c>
      <c r="D1643" t="s">
        <v>129</v>
      </c>
      <c r="E1643">
        <v>10.16</v>
      </c>
    </row>
    <row r="1644" spans="1:5" hidden="1" x14ac:dyDescent="0.3">
      <c r="A1644" t="s">
        <v>337</v>
      </c>
      <c r="B1644" t="s">
        <v>338</v>
      </c>
      <c r="C1644" s="1">
        <v>28307</v>
      </c>
      <c r="D1644" t="s">
        <v>129</v>
      </c>
      <c r="E1644">
        <v>4.3099999999999996</v>
      </c>
    </row>
    <row r="1645" spans="1:5" hidden="1" x14ac:dyDescent="0.3">
      <c r="A1645" t="s">
        <v>371</v>
      </c>
      <c r="B1645" t="s">
        <v>372</v>
      </c>
      <c r="C1645" s="1">
        <v>28307</v>
      </c>
      <c r="D1645" t="s">
        <v>129</v>
      </c>
      <c r="E1645">
        <v>-10.77</v>
      </c>
    </row>
    <row r="1646" spans="1:5" hidden="1" x14ac:dyDescent="0.3">
      <c r="A1646" t="s">
        <v>5</v>
      </c>
      <c r="B1646" t="s">
        <v>6</v>
      </c>
      <c r="C1646" s="1">
        <v>28216</v>
      </c>
      <c r="D1646" t="s">
        <v>128</v>
      </c>
      <c r="E1646">
        <v>4.47</v>
      </c>
    </row>
    <row r="1647" spans="1:5" hidden="1" x14ac:dyDescent="0.3">
      <c r="A1647" t="s">
        <v>325</v>
      </c>
      <c r="B1647" t="s">
        <v>326</v>
      </c>
      <c r="C1647" s="1">
        <v>28216</v>
      </c>
      <c r="D1647" t="s">
        <v>128</v>
      </c>
      <c r="E1647">
        <v>6.44</v>
      </c>
    </row>
    <row r="1648" spans="1:5" hidden="1" x14ac:dyDescent="0.3">
      <c r="A1648" t="s">
        <v>327</v>
      </c>
      <c r="B1648" t="s">
        <v>328</v>
      </c>
      <c r="C1648" s="1">
        <v>28216</v>
      </c>
      <c r="D1648" t="s">
        <v>128</v>
      </c>
      <c r="E1648">
        <v>5.87</v>
      </c>
    </row>
    <row r="1649" spans="1:5" x14ac:dyDescent="0.3">
      <c r="A1649" t="s">
        <v>329</v>
      </c>
      <c r="B1649" t="s">
        <v>330</v>
      </c>
      <c r="C1649" s="1">
        <v>28216</v>
      </c>
      <c r="D1649" t="s">
        <v>128</v>
      </c>
      <c r="E1649">
        <v>-0.77</v>
      </c>
    </row>
    <row r="1650" spans="1:5" hidden="1" x14ac:dyDescent="0.3">
      <c r="A1650" t="s">
        <v>337</v>
      </c>
      <c r="B1650" t="s">
        <v>338</v>
      </c>
      <c r="C1650" s="1">
        <v>28216</v>
      </c>
      <c r="D1650" t="s">
        <v>128</v>
      </c>
      <c r="E1650">
        <v>3.5</v>
      </c>
    </row>
    <row r="1651" spans="1:5" hidden="1" x14ac:dyDescent="0.3">
      <c r="A1651" t="s">
        <v>371</v>
      </c>
      <c r="B1651" t="s">
        <v>372</v>
      </c>
      <c r="C1651" s="1">
        <v>28216</v>
      </c>
      <c r="D1651" t="s">
        <v>128</v>
      </c>
      <c r="E1651">
        <v>-5.74</v>
      </c>
    </row>
    <row r="1652" spans="1:5" hidden="1" x14ac:dyDescent="0.3">
      <c r="A1652" t="s">
        <v>5</v>
      </c>
      <c r="B1652" t="s">
        <v>6</v>
      </c>
      <c r="C1652" s="1">
        <v>28126</v>
      </c>
      <c r="D1652" t="s">
        <v>127</v>
      </c>
      <c r="E1652">
        <v>3.23</v>
      </c>
    </row>
    <row r="1653" spans="1:5" hidden="1" x14ac:dyDescent="0.3">
      <c r="A1653" t="s">
        <v>325</v>
      </c>
      <c r="B1653" t="s">
        <v>326</v>
      </c>
      <c r="C1653" s="1">
        <v>28126</v>
      </c>
      <c r="D1653" t="s">
        <v>127</v>
      </c>
      <c r="E1653">
        <v>6.17</v>
      </c>
    </row>
    <row r="1654" spans="1:5" hidden="1" x14ac:dyDescent="0.3">
      <c r="A1654" t="s">
        <v>327</v>
      </c>
      <c r="B1654" t="s">
        <v>328</v>
      </c>
      <c r="C1654" s="1">
        <v>28126</v>
      </c>
      <c r="D1654" t="s">
        <v>127</v>
      </c>
      <c r="E1654">
        <v>5.6</v>
      </c>
    </row>
    <row r="1655" spans="1:5" x14ac:dyDescent="0.3">
      <c r="A1655" t="s">
        <v>329</v>
      </c>
      <c r="B1655" t="s">
        <v>330</v>
      </c>
      <c r="C1655" s="1">
        <v>28126</v>
      </c>
      <c r="D1655" t="s">
        <v>127</v>
      </c>
      <c r="E1655">
        <v>-3.46</v>
      </c>
    </row>
    <row r="1656" spans="1:5" hidden="1" x14ac:dyDescent="0.3">
      <c r="A1656" t="s">
        <v>337</v>
      </c>
      <c r="B1656" t="s">
        <v>338</v>
      </c>
      <c r="C1656" s="1">
        <v>28126</v>
      </c>
      <c r="D1656" t="s">
        <v>127</v>
      </c>
      <c r="E1656">
        <v>2.84</v>
      </c>
    </row>
    <row r="1657" spans="1:5" hidden="1" x14ac:dyDescent="0.3">
      <c r="A1657" t="s">
        <v>371</v>
      </c>
      <c r="B1657" t="s">
        <v>372</v>
      </c>
      <c r="C1657" s="1">
        <v>28126</v>
      </c>
      <c r="D1657" t="s">
        <v>127</v>
      </c>
      <c r="E1657">
        <v>-3.01</v>
      </c>
    </row>
    <row r="1658" spans="1:5" hidden="1" x14ac:dyDescent="0.3">
      <c r="A1658" t="s">
        <v>5</v>
      </c>
      <c r="B1658" t="s">
        <v>6</v>
      </c>
      <c r="C1658" s="1">
        <v>28034</v>
      </c>
      <c r="D1658" t="s">
        <v>126</v>
      </c>
      <c r="E1658">
        <v>4.3099999999999996</v>
      </c>
    </row>
    <row r="1659" spans="1:5" hidden="1" x14ac:dyDescent="0.3">
      <c r="A1659" t="s">
        <v>325</v>
      </c>
      <c r="B1659" t="s">
        <v>326</v>
      </c>
      <c r="C1659" s="1">
        <v>28034</v>
      </c>
      <c r="D1659" t="s">
        <v>126</v>
      </c>
      <c r="E1659">
        <v>6.4</v>
      </c>
    </row>
    <row r="1660" spans="1:5" hidden="1" x14ac:dyDescent="0.3">
      <c r="A1660" t="s">
        <v>327</v>
      </c>
      <c r="B1660" t="s">
        <v>328</v>
      </c>
      <c r="C1660" s="1">
        <v>28034</v>
      </c>
      <c r="D1660" t="s">
        <v>126</v>
      </c>
      <c r="E1660">
        <v>5.79</v>
      </c>
    </row>
    <row r="1661" spans="1:5" x14ac:dyDescent="0.3">
      <c r="A1661" t="s">
        <v>329</v>
      </c>
      <c r="B1661" t="s">
        <v>330</v>
      </c>
      <c r="C1661" s="1">
        <v>28034</v>
      </c>
      <c r="D1661" t="s">
        <v>126</v>
      </c>
      <c r="E1661">
        <v>-9.98</v>
      </c>
    </row>
    <row r="1662" spans="1:5" hidden="1" x14ac:dyDescent="0.3">
      <c r="A1662" t="s">
        <v>337</v>
      </c>
      <c r="B1662" t="s">
        <v>338</v>
      </c>
      <c r="C1662" s="1">
        <v>28034</v>
      </c>
      <c r="D1662" t="s">
        <v>126</v>
      </c>
      <c r="E1662">
        <v>3.15</v>
      </c>
    </row>
    <row r="1663" spans="1:5" hidden="1" x14ac:dyDescent="0.3">
      <c r="A1663" t="s">
        <v>371</v>
      </c>
      <c r="B1663" t="s">
        <v>372</v>
      </c>
      <c r="C1663" s="1">
        <v>28034</v>
      </c>
      <c r="D1663" t="s">
        <v>126</v>
      </c>
      <c r="E1663">
        <v>-6.42</v>
      </c>
    </row>
    <row r="1664" spans="1:5" hidden="1" x14ac:dyDescent="0.3">
      <c r="A1664" t="s">
        <v>5</v>
      </c>
      <c r="B1664" t="s">
        <v>6</v>
      </c>
      <c r="C1664" s="1">
        <v>27942</v>
      </c>
      <c r="D1664" t="s">
        <v>125</v>
      </c>
      <c r="E1664">
        <v>4.96</v>
      </c>
    </row>
    <row r="1665" spans="1:5" hidden="1" x14ac:dyDescent="0.3">
      <c r="A1665" t="s">
        <v>325</v>
      </c>
      <c r="B1665" t="s">
        <v>326</v>
      </c>
      <c r="C1665" s="1">
        <v>27942</v>
      </c>
      <c r="D1665" t="s">
        <v>125</v>
      </c>
      <c r="E1665">
        <v>6.76</v>
      </c>
    </row>
    <row r="1666" spans="1:5" hidden="1" x14ac:dyDescent="0.3">
      <c r="A1666" t="s">
        <v>327</v>
      </c>
      <c r="B1666" t="s">
        <v>328</v>
      </c>
      <c r="C1666" s="1">
        <v>27942</v>
      </c>
      <c r="D1666" t="s">
        <v>125</v>
      </c>
      <c r="E1666">
        <v>5.89</v>
      </c>
    </row>
    <row r="1667" spans="1:5" x14ac:dyDescent="0.3">
      <c r="A1667" t="s">
        <v>329</v>
      </c>
      <c r="B1667" t="s">
        <v>330</v>
      </c>
      <c r="C1667" s="1">
        <v>27942</v>
      </c>
      <c r="D1667" t="s">
        <v>125</v>
      </c>
      <c r="E1667">
        <v>-14.24</v>
      </c>
    </row>
    <row r="1668" spans="1:5" hidden="1" x14ac:dyDescent="0.3">
      <c r="A1668" t="s">
        <v>337</v>
      </c>
      <c r="B1668" t="s">
        <v>338</v>
      </c>
      <c r="C1668" s="1">
        <v>27942</v>
      </c>
      <c r="D1668" t="s">
        <v>125</v>
      </c>
      <c r="E1668">
        <v>3.46</v>
      </c>
    </row>
    <row r="1669" spans="1:5" hidden="1" x14ac:dyDescent="0.3">
      <c r="A1669" t="s">
        <v>371</v>
      </c>
      <c r="B1669" t="s">
        <v>372</v>
      </c>
      <c r="C1669" s="1">
        <v>27942</v>
      </c>
      <c r="D1669" t="s">
        <v>125</v>
      </c>
      <c r="E1669">
        <v>-8.67</v>
      </c>
    </row>
    <row r="1670" spans="1:5" hidden="1" x14ac:dyDescent="0.3">
      <c r="A1670" t="s">
        <v>5</v>
      </c>
      <c r="B1670" t="s">
        <v>6</v>
      </c>
      <c r="C1670" s="1">
        <v>27851</v>
      </c>
      <c r="D1670" t="s">
        <v>124</v>
      </c>
      <c r="E1670">
        <v>6.17</v>
      </c>
    </row>
    <row r="1671" spans="1:5" hidden="1" x14ac:dyDescent="0.3">
      <c r="A1671" t="s">
        <v>325</v>
      </c>
      <c r="B1671" t="s">
        <v>326</v>
      </c>
      <c r="C1671" s="1">
        <v>27851</v>
      </c>
      <c r="D1671" t="s">
        <v>124</v>
      </c>
      <c r="E1671">
        <v>6.41</v>
      </c>
    </row>
    <row r="1672" spans="1:5" hidden="1" x14ac:dyDescent="0.3">
      <c r="A1672" t="s">
        <v>327</v>
      </c>
      <c r="B1672" t="s">
        <v>328</v>
      </c>
      <c r="C1672" s="1">
        <v>27851</v>
      </c>
      <c r="D1672" t="s">
        <v>124</v>
      </c>
      <c r="E1672">
        <v>5.34</v>
      </c>
    </row>
    <row r="1673" spans="1:5" x14ac:dyDescent="0.3">
      <c r="A1673" t="s">
        <v>329</v>
      </c>
      <c r="B1673" t="s">
        <v>330</v>
      </c>
      <c r="C1673" s="1">
        <v>27851</v>
      </c>
      <c r="D1673" t="s">
        <v>124</v>
      </c>
      <c r="E1673">
        <v>-4.1100000000000003</v>
      </c>
    </row>
    <row r="1674" spans="1:5" hidden="1" x14ac:dyDescent="0.3">
      <c r="A1674" t="s">
        <v>337</v>
      </c>
      <c r="B1674" t="s">
        <v>338</v>
      </c>
      <c r="C1674" s="1">
        <v>27851</v>
      </c>
      <c r="D1674" t="s">
        <v>124</v>
      </c>
      <c r="E1674">
        <v>3.65</v>
      </c>
    </row>
    <row r="1675" spans="1:5" hidden="1" x14ac:dyDescent="0.3">
      <c r="A1675" t="s">
        <v>371</v>
      </c>
      <c r="B1675" t="s">
        <v>372</v>
      </c>
      <c r="C1675" s="1">
        <v>27851</v>
      </c>
      <c r="D1675" t="s">
        <v>124</v>
      </c>
      <c r="E1675">
        <v>-14.66</v>
      </c>
    </row>
    <row r="1676" spans="1:5" hidden="1" x14ac:dyDescent="0.3">
      <c r="A1676" t="s">
        <v>5</v>
      </c>
      <c r="B1676" t="s">
        <v>6</v>
      </c>
      <c r="C1676" s="1">
        <v>27760</v>
      </c>
      <c r="D1676" t="s">
        <v>123</v>
      </c>
      <c r="E1676">
        <v>6.15</v>
      </c>
    </row>
    <row r="1677" spans="1:5" hidden="1" x14ac:dyDescent="0.3">
      <c r="A1677" t="s">
        <v>325</v>
      </c>
      <c r="B1677" t="s">
        <v>326</v>
      </c>
      <c r="C1677" s="1">
        <v>27760</v>
      </c>
      <c r="D1677" t="s">
        <v>123</v>
      </c>
      <c r="E1677">
        <v>6.64</v>
      </c>
    </row>
    <row r="1678" spans="1:5" hidden="1" x14ac:dyDescent="0.3">
      <c r="A1678" t="s">
        <v>327</v>
      </c>
      <c r="B1678" t="s">
        <v>328</v>
      </c>
      <c r="C1678" s="1">
        <v>27760</v>
      </c>
      <c r="D1678" t="s">
        <v>123</v>
      </c>
      <c r="E1678">
        <v>5.57</v>
      </c>
    </row>
    <row r="1679" spans="1:5" x14ac:dyDescent="0.3">
      <c r="A1679" t="s">
        <v>329</v>
      </c>
      <c r="B1679" t="s">
        <v>330</v>
      </c>
      <c r="C1679" s="1">
        <v>27760</v>
      </c>
      <c r="D1679" t="s">
        <v>123</v>
      </c>
      <c r="E1679">
        <v>-23.42</v>
      </c>
    </row>
    <row r="1680" spans="1:5" hidden="1" x14ac:dyDescent="0.3">
      <c r="A1680" t="s">
        <v>337</v>
      </c>
      <c r="B1680" t="s">
        <v>338</v>
      </c>
      <c r="C1680" s="1">
        <v>27760</v>
      </c>
      <c r="D1680" t="s">
        <v>123</v>
      </c>
      <c r="E1680">
        <v>2.39</v>
      </c>
    </row>
    <row r="1681" spans="1:5" hidden="1" x14ac:dyDescent="0.3">
      <c r="A1681" t="s">
        <v>371</v>
      </c>
      <c r="B1681" t="s">
        <v>372</v>
      </c>
      <c r="C1681" s="1">
        <v>27760</v>
      </c>
      <c r="D1681" t="s">
        <v>123</v>
      </c>
      <c r="E1681">
        <v>-6.46</v>
      </c>
    </row>
    <row r="1682" spans="1:5" hidden="1" x14ac:dyDescent="0.3">
      <c r="A1682" t="s">
        <v>5</v>
      </c>
      <c r="B1682" t="s">
        <v>6</v>
      </c>
      <c r="C1682" s="1">
        <v>27668</v>
      </c>
      <c r="D1682" t="s">
        <v>122</v>
      </c>
      <c r="E1682">
        <v>2.5499999999999998</v>
      </c>
    </row>
    <row r="1683" spans="1:5" hidden="1" x14ac:dyDescent="0.3">
      <c r="A1683" t="s">
        <v>325</v>
      </c>
      <c r="B1683" t="s">
        <v>326</v>
      </c>
      <c r="C1683" s="1">
        <v>27668</v>
      </c>
      <c r="D1683" t="s">
        <v>122</v>
      </c>
      <c r="E1683">
        <v>6.91</v>
      </c>
    </row>
    <row r="1684" spans="1:5" hidden="1" x14ac:dyDescent="0.3">
      <c r="A1684" t="s">
        <v>327</v>
      </c>
      <c r="B1684" t="s">
        <v>328</v>
      </c>
      <c r="C1684" s="1">
        <v>27668</v>
      </c>
      <c r="D1684" t="s">
        <v>122</v>
      </c>
      <c r="E1684">
        <v>6.4</v>
      </c>
    </row>
    <row r="1685" spans="1:5" x14ac:dyDescent="0.3">
      <c r="A1685" t="s">
        <v>329</v>
      </c>
      <c r="B1685" t="s">
        <v>330</v>
      </c>
      <c r="C1685" s="1">
        <v>27668</v>
      </c>
      <c r="D1685" t="s">
        <v>122</v>
      </c>
      <c r="E1685">
        <v>-42.09</v>
      </c>
    </row>
    <row r="1686" spans="1:5" hidden="1" x14ac:dyDescent="0.3">
      <c r="A1686" t="s">
        <v>337</v>
      </c>
      <c r="B1686" t="s">
        <v>338</v>
      </c>
      <c r="C1686" s="1">
        <v>27668</v>
      </c>
      <c r="D1686" t="s">
        <v>122</v>
      </c>
      <c r="E1686">
        <v>-0.56000000000000005</v>
      </c>
    </row>
    <row r="1687" spans="1:5" hidden="1" x14ac:dyDescent="0.3">
      <c r="A1687" t="s">
        <v>371</v>
      </c>
      <c r="B1687" t="s">
        <v>372</v>
      </c>
      <c r="C1687" s="1">
        <v>27668</v>
      </c>
      <c r="D1687" t="s">
        <v>122</v>
      </c>
      <c r="E1687">
        <v>25.76</v>
      </c>
    </row>
    <row r="1688" spans="1:5" hidden="1" x14ac:dyDescent="0.3">
      <c r="A1688" t="s">
        <v>5</v>
      </c>
      <c r="B1688" t="s">
        <v>6</v>
      </c>
      <c r="C1688" s="1">
        <v>27576</v>
      </c>
      <c r="D1688" t="s">
        <v>121</v>
      </c>
      <c r="E1688">
        <v>0.8</v>
      </c>
    </row>
    <row r="1689" spans="1:5" hidden="1" x14ac:dyDescent="0.3">
      <c r="A1689" t="s">
        <v>325</v>
      </c>
      <c r="B1689" t="s">
        <v>326</v>
      </c>
      <c r="C1689" s="1">
        <v>27576</v>
      </c>
      <c r="D1689" t="s">
        <v>121</v>
      </c>
      <c r="E1689">
        <v>8.18</v>
      </c>
    </row>
    <row r="1690" spans="1:5" hidden="1" x14ac:dyDescent="0.3">
      <c r="A1690" t="s">
        <v>327</v>
      </c>
      <c r="B1690" t="s">
        <v>328</v>
      </c>
      <c r="C1690" s="1">
        <v>27576</v>
      </c>
      <c r="D1690" t="s">
        <v>121</v>
      </c>
      <c r="E1690">
        <v>9.23</v>
      </c>
    </row>
    <row r="1691" spans="1:5" x14ac:dyDescent="0.3">
      <c r="A1691" t="s">
        <v>329</v>
      </c>
      <c r="B1691" t="s">
        <v>330</v>
      </c>
      <c r="C1691" s="1">
        <v>27576</v>
      </c>
      <c r="D1691" t="s">
        <v>121</v>
      </c>
      <c r="E1691">
        <v>-49.05</v>
      </c>
    </row>
    <row r="1692" spans="1:5" hidden="1" x14ac:dyDescent="0.3">
      <c r="A1692" t="s">
        <v>337</v>
      </c>
      <c r="B1692" t="s">
        <v>338</v>
      </c>
      <c r="C1692" s="1">
        <v>27576</v>
      </c>
      <c r="D1692" t="s">
        <v>121</v>
      </c>
      <c r="E1692">
        <v>-2</v>
      </c>
    </row>
    <row r="1693" spans="1:5" hidden="1" x14ac:dyDescent="0.3">
      <c r="A1693" t="s">
        <v>371</v>
      </c>
      <c r="B1693" t="s">
        <v>372</v>
      </c>
      <c r="C1693" s="1">
        <v>27576</v>
      </c>
      <c r="D1693" t="s">
        <v>121</v>
      </c>
      <c r="E1693">
        <v>50.31</v>
      </c>
    </row>
    <row r="1694" spans="1:5" hidden="1" x14ac:dyDescent="0.3">
      <c r="A1694" t="s">
        <v>5</v>
      </c>
      <c r="B1694" t="s">
        <v>6</v>
      </c>
      <c r="C1694" s="1">
        <v>27485</v>
      </c>
      <c r="D1694" t="s">
        <v>120</v>
      </c>
      <c r="E1694">
        <v>-1.83</v>
      </c>
    </row>
    <row r="1695" spans="1:5" hidden="1" x14ac:dyDescent="0.3">
      <c r="A1695" t="s">
        <v>325</v>
      </c>
      <c r="B1695" t="s">
        <v>326</v>
      </c>
      <c r="C1695" s="1">
        <v>27485</v>
      </c>
      <c r="D1695" t="s">
        <v>120</v>
      </c>
      <c r="E1695">
        <v>10.45</v>
      </c>
    </row>
    <row r="1696" spans="1:5" hidden="1" x14ac:dyDescent="0.3">
      <c r="A1696" t="s">
        <v>327</v>
      </c>
      <c r="B1696" t="s">
        <v>328</v>
      </c>
      <c r="C1696" s="1">
        <v>27485</v>
      </c>
      <c r="D1696" t="s">
        <v>120</v>
      </c>
      <c r="E1696">
        <v>13.81</v>
      </c>
    </row>
    <row r="1697" spans="1:5" x14ac:dyDescent="0.3">
      <c r="A1697" t="s">
        <v>329</v>
      </c>
      <c r="B1697" t="s">
        <v>330</v>
      </c>
      <c r="C1697" s="1">
        <v>27485</v>
      </c>
      <c r="D1697" t="s">
        <v>120</v>
      </c>
      <c r="E1697">
        <v>-51.82</v>
      </c>
    </row>
    <row r="1698" spans="1:5" hidden="1" x14ac:dyDescent="0.3">
      <c r="A1698" t="s">
        <v>337</v>
      </c>
      <c r="B1698" t="s">
        <v>338</v>
      </c>
      <c r="C1698" s="1">
        <v>27485</v>
      </c>
      <c r="D1698" t="s">
        <v>120</v>
      </c>
      <c r="E1698">
        <v>-2.52</v>
      </c>
    </row>
    <row r="1699" spans="1:5" hidden="1" x14ac:dyDescent="0.3">
      <c r="A1699" t="s">
        <v>371</v>
      </c>
      <c r="B1699" t="s">
        <v>372</v>
      </c>
      <c r="C1699" s="1">
        <v>27485</v>
      </c>
      <c r="D1699" t="s">
        <v>120</v>
      </c>
      <c r="E1699">
        <v>70.52</v>
      </c>
    </row>
    <row r="1700" spans="1:5" hidden="1" x14ac:dyDescent="0.3">
      <c r="A1700" t="s">
        <v>5</v>
      </c>
      <c r="B1700" t="s">
        <v>6</v>
      </c>
      <c r="C1700" s="1">
        <v>27395</v>
      </c>
      <c r="D1700" t="s">
        <v>119</v>
      </c>
      <c r="E1700">
        <v>-2.2999999999999998</v>
      </c>
    </row>
    <row r="1701" spans="1:5" hidden="1" x14ac:dyDescent="0.3">
      <c r="A1701" t="s">
        <v>325</v>
      </c>
      <c r="B1701" t="s">
        <v>326</v>
      </c>
      <c r="C1701" s="1">
        <v>27395</v>
      </c>
      <c r="D1701" t="s">
        <v>119</v>
      </c>
      <c r="E1701">
        <v>11.57</v>
      </c>
    </row>
    <row r="1702" spans="1:5" hidden="1" x14ac:dyDescent="0.3">
      <c r="A1702" t="s">
        <v>327</v>
      </c>
      <c r="B1702" t="s">
        <v>328</v>
      </c>
      <c r="C1702" s="1">
        <v>27395</v>
      </c>
      <c r="D1702" t="s">
        <v>119</v>
      </c>
      <c r="E1702">
        <v>17.18</v>
      </c>
    </row>
    <row r="1703" spans="1:5" x14ac:dyDescent="0.3">
      <c r="A1703" t="s">
        <v>329</v>
      </c>
      <c r="B1703" t="s">
        <v>330</v>
      </c>
      <c r="C1703" s="1">
        <v>27395</v>
      </c>
      <c r="D1703" t="s">
        <v>119</v>
      </c>
      <c r="E1703">
        <v>-32.39</v>
      </c>
    </row>
    <row r="1704" spans="1:5" hidden="1" x14ac:dyDescent="0.3">
      <c r="A1704" t="s">
        <v>337</v>
      </c>
      <c r="B1704" t="s">
        <v>338</v>
      </c>
      <c r="C1704" s="1">
        <v>27395</v>
      </c>
      <c r="D1704" t="s">
        <v>119</v>
      </c>
      <c r="E1704">
        <v>-1.62</v>
      </c>
    </row>
    <row r="1705" spans="1:5" hidden="1" x14ac:dyDescent="0.3">
      <c r="A1705" t="s">
        <v>371</v>
      </c>
      <c r="B1705" t="s">
        <v>372</v>
      </c>
      <c r="C1705" s="1">
        <v>27395</v>
      </c>
      <c r="D1705" t="s">
        <v>119</v>
      </c>
      <c r="E1705">
        <v>61.06</v>
      </c>
    </row>
    <row r="1706" spans="1:5" hidden="1" x14ac:dyDescent="0.3">
      <c r="A1706" t="s">
        <v>5</v>
      </c>
      <c r="B1706" t="s">
        <v>6</v>
      </c>
      <c r="C1706" s="1">
        <v>27303</v>
      </c>
      <c r="D1706" t="s">
        <v>118</v>
      </c>
      <c r="E1706">
        <v>-1.95</v>
      </c>
    </row>
    <row r="1707" spans="1:5" hidden="1" x14ac:dyDescent="0.3">
      <c r="A1707" t="s">
        <v>325</v>
      </c>
      <c r="B1707" t="s">
        <v>326</v>
      </c>
      <c r="C1707" s="1">
        <v>27303</v>
      </c>
      <c r="D1707" t="s">
        <v>118</v>
      </c>
      <c r="E1707">
        <v>10.97</v>
      </c>
    </row>
    <row r="1708" spans="1:5" hidden="1" x14ac:dyDescent="0.3">
      <c r="A1708" t="s">
        <v>327</v>
      </c>
      <c r="B1708" t="s">
        <v>328</v>
      </c>
      <c r="C1708" s="1">
        <v>27303</v>
      </c>
      <c r="D1708" t="s">
        <v>118</v>
      </c>
    </row>
    <row r="1709" spans="1:5" x14ac:dyDescent="0.3">
      <c r="A1709" t="s">
        <v>329</v>
      </c>
      <c r="B1709" t="s">
        <v>330</v>
      </c>
      <c r="C1709" s="1">
        <v>27303</v>
      </c>
      <c r="D1709" t="s">
        <v>118</v>
      </c>
      <c r="E1709">
        <v>-6.5</v>
      </c>
    </row>
    <row r="1710" spans="1:5" hidden="1" x14ac:dyDescent="0.3">
      <c r="A1710" t="s">
        <v>337</v>
      </c>
      <c r="B1710" t="s">
        <v>338</v>
      </c>
      <c r="C1710" s="1">
        <v>27303</v>
      </c>
      <c r="D1710" t="s">
        <v>118</v>
      </c>
      <c r="E1710">
        <v>0.42</v>
      </c>
    </row>
    <row r="1711" spans="1:5" hidden="1" x14ac:dyDescent="0.3">
      <c r="A1711" t="s">
        <v>371</v>
      </c>
      <c r="B1711" t="s">
        <v>372</v>
      </c>
      <c r="C1711" s="1">
        <v>27303</v>
      </c>
      <c r="D1711" t="s">
        <v>118</v>
      </c>
      <c r="E1711">
        <v>38.450000000000003</v>
      </c>
    </row>
    <row r="1712" spans="1:5" hidden="1" x14ac:dyDescent="0.3">
      <c r="A1712" t="s">
        <v>5</v>
      </c>
      <c r="B1712" t="s">
        <v>6</v>
      </c>
      <c r="C1712" s="1">
        <v>27211</v>
      </c>
      <c r="D1712" t="s">
        <v>117</v>
      </c>
      <c r="E1712">
        <v>-0.63</v>
      </c>
    </row>
    <row r="1713" spans="1:5" hidden="1" x14ac:dyDescent="0.3">
      <c r="A1713" t="s">
        <v>325</v>
      </c>
      <c r="B1713" t="s">
        <v>326</v>
      </c>
      <c r="C1713" s="1">
        <v>27211</v>
      </c>
      <c r="D1713" t="s">
        <v>117</v>
      </c>
      <c r="E1713">
        <v>9.6199999999999992</v>
      </c>
    </row>
    <row r="1714" spans="1:5" hidden="1" x14ac:dyDescent="0.3">
      <c r="A1714" t="s">
        <v>327</v>
      </c>
      <c r="B1714" t="s">
        <v>328</v>
      </c>
      <c r="C1714" s="1">
        <v>27211</v>
      </c>
      <c r="D1714" t="s">
        <v>117</v>
      </c>
    </row>
    <row r="1715" spans="1:5" x14ac:dyDescent="0.3">
      <c r="A1715" t="s">
        <v>329</v>
      </c>
      <c r="B1715" t="s">
        <v>330</v>
      </c>
      <c r="C1715" s="1">
        <v>27211</v>
      </c>
      <c r="D1715" t="s">
        <v>117</v>
      </c>
      <c r="E1715">
        <v>14.49</v>
      </c>
    </row>
    <row r="1716" spans="1:5" hidden="1" x14ac:dyDescent="0.3">
      <c r="A1716" t="s">
        <v>337</v>
      </c>
      <c r="B1716" t="s">
        <v>338</v>
      </c>
      <c r="C1716" s="1">
        <v>27211</v>
      </c>
      <c r="D1716" t="s">
        <v>117</v>
      </c>
      <c r="E1716">
        <v>1.95</v>
      </c>
    </row>
    <row r="1717" spans="1:5" hidden="1" x14ac:dyDescent="0.3">
      <c r="A1717" t="s">
        <v>371</v>
      </c>
      <c r="B1717" t="s">
        <v>372</v>
      </c>
      <c r="C1717" s="1">
        <v>27211</v>
      </c>
      <c r="D1717" t="s">
        <v>117</v>
      </c>
      <c r="E1717">
        <v>17.350000000000001</v>
      </c>
    </row>
    <row r="1718" spans="1:5" hidden="1" x14ac:dyDescent="0.3">
      <c r="A1718" t="s">
        <v>5</v>
      </c>
      <c r="B1718" t="s">
        <v>6</v>
      </c>
      <c r="C1718" s="1">
        <v>27120</v>
      </c>
      <c r="D1718" t="s">
        <v>116</v>
      </c>
      <c r="E1718">
        <v>-0.21</v>
      </c>
    </row>
    <row r="1719" spans="1:5" hidden="1" x14ac:dyDescent="0.3">
      <c r="A1719" t="s">
        <v>325</v>
      </c>
      <c r="B1719" t="s">
        <v>326</v>
      </c>
      <c r="C1719" s="1">
        <v>27120</v>
      </c>
      <c r="D1719" t="s">
        <v>116</v>
      </c>
      <c r="E1719">
        <v>7.07</v>
      </c>
    </row>
    <row r="1720" spans="1:5" hidden="1" x14ac:dyDescent="0.3">
      <c r="A1720" t="s">
        <v>327</v>
      </c>
      <c r="B1720" t="s">
        <v>328</v>
      </c>
      <c r="C1720" s="1">
        <v>27120</v>
      </c>
      <c r="D1720" t="s">
        <v>116</v>
      </c>
    </row>
    <row r="1721" spans="1:5" x14ac:dyDescent="0.3">
      <c r="A1721" t="s">
        <v>329</v>
      </c>
      <c r="B1721" t="s">
        <v>330</v>
      </c>
      <c r="C1721" s="1">
        <v>27120</v>
      </c>
      <c r="D1721" t="s">
        <v>116</v>
      </c>
      <c r="E1721">
        <v>43.92</v>
      </c>
    </row>
    <row r="1722" spans="1:5" hidden="1" x14ac:dyDescent="0.3">
      <c r="A1722" t="s">
        <v>337</v>
      </c>
      <c r="B1722" t="s">
        <v>338</v>
      </c>
      <c r="C1722" s="1">
        <v>27120</v>
      </c>
      <c r="D1722" t="s">
        <v>116</v>
      </c>
      <c r="E1722">
        <v>2.41</v>
      </c>
    </row>
    <row r="1723" spans="1:5" hidden="1" x14ac:dyDescent="0.3">
      <c r="A1723" t="s">
        <v>371</v>
      </c>
      <c r="B1723" t="s">
        <v>372</v>
      </c>
      <c r="C1723" s="1">
        <v>27120</v>
      </c>
      <c r="D1723" t="s">
        <v>116</v>
      </c>
      <c r="E1723">
        <v>5.41</v>
      </c>
    </row>
    <row r="1724" spans="1:5" hidden="1" x14ac:dyDescent="0.3">
      <c r="A1724" t="s">
        <v>5</v>
      </c>
      <c r="B1724" t="s">
        <v>6</v>
      </c>
      <c r="C1724" s="1">
        <v>27030</v>
      </c>
      <c r="D1724" t="s">
        <v>115</v>
      </c>
      <c r="E1724">
        <v>0.64</v>
      </c>
    </row>
    <row r="1725" spans="1:5" hidden="1" x14ac:dyDescent="0.3">
      <c r="A1725" t="s">
        <v>325</v>
      </c>
      <c r="B1725" t="s">
        <v>326</v>
      </c>
      <c r="C1725" s="1">
        <v>27030</v>
      </c>
      <c r="D1725" t="s">
        <v>115</v>
      </c>
      <c r="E1725">
        <v>5.43</v>
      </c>
    </row>
    <row r="1726" spans="1:5" hidden="1" x14ac:dyDescent="0.3">
      <c r="A1726" t="s">
        <v>327</v>
      </c>
      <c r="B1726" t="s">
        <v>328</v>
      </c>
      <c r="C1726" s="1">
        <v>27030</v>
      </c>
      <c r="D1726" t="s">
        <v>115</v>
      </c>
    </row>
    <row r="1727" spans="1:5" x14ac:dyDescent="0.3">
      <c r="A1727" t="s">
        <v>329</v>
      </c>
      <c r="B1727" t="s">
        <v>330</v>
      </c>
      <c r="C1727" s="1">
        <v>27030</v>
      </c>
      <c r="D1727" t="s">
        <v>115</v>
      </c>
      <c r="E1727">
        <v>42.62</v>
      </c>
    </row>
    <row r="1728" spans="1:5" hidden="1" x14ac:dyDescent="0.3">
      <c r="A1728" t="s">
        <v>337</v>
      </c>
      <c r="B1728" t="s">
        <v>338</v>
      </c>
      <c r="C1728" s="1">
        <v>27030</v>
      </c>
      <c r="D1728" t="s">
        <v>115</v>
      </c>
      <c r="E1728">
        <v>2.96</v>
      </c>
    </row>
    <row r="1729" spans="1:5" hidden="1" x14ac:dyDescent="0.3">
      <c r="A1729" t="s">
        <v>371</v>
      </c>
      <c r="B1729" t="s">
        <v>372</v>
      </c>
      <c r="C1729" s="1">
        <v>27030</v>
      </c>
      <c r="D1729" t="s">
        <v>115</v>
      </c>
      <c r="E1729">
        <v>4.05</v>
      </c>
    </row>
    <row r="1730" spans="1:5" hidden="1" x14ac:dyDescent="0.3">
      <c r="A1730" t="s">
        <v>5</v>
      </c>
      <c r="B1730" t="s">
        <v>6</v>
      </c>
      <c r="C1730" s="1">
        <v>26938</v>
      </c>
      <c r="D1730" t="s">
        <v>114</v>
      </c>
      <c r="E1730">
        <v>4.0199999999999996</v>
      </c>
    </row>
    <row r="1731" spans="1:5" hidden="1" x14ac:dyDescent="0.3">
      <c r="A1731" t="s">
        <v>325</v>
      </c>
      <c r="B1731" t="s">
        <v>326</v>
      </c>
      <c r="C1731" s="1">
        <v>26938</v>
      </c>
      <c r="D1731" t="s">
        <v>114</v>
      </c>
      <c r="E1731">
        <v>4.57</v>
      </c>
    </row>
    <row r="1732" spans="1:5" x14ac:dyDescent="0.3">
      <c r="A1732" t="s">
        <v>329</v>
      </c>
      <c r="B1732" t="s">
        <v>330</v>
      </c>
      <c r="C1732" s="1">
        <v>26938</v>
      </c>
      <c r="D1732" t="s">
        <v>114</v>
      </c>
      <c r="E1732">
        <v>94.23</v>
      </c>
    </row>
    <row r="1733" spans="1:5" hidden="1" x14ac:dyDescent="0.3">
      <c r="A1733" t="s">
        <v>337</v>
      </c>
      <c r="B1733" t="s">
        <v>338</v>
      </c>
      <c r="C1733" s="1">
        <v>26938</v>
      </c>
      <c r="D1733" t="s">
        <v>114</v>
      </c>
      <c r="E1733">
        <v>3.84</v>
      </c>
    </row>
    <row r="1734" spans="1:5" hidden="1" x14ac:dyDescent="0.3">
      <c r="A1734" t="s">
        <v>371</v>
      </c>
      <c r="B1734" t="s">
        <v>372</v>
      </c>
      <c r="C1734" s="1">
        <v>26938</v>
      </c>
      <c r="D1734" t="s">
        <v>114</v>
      </c>
      <c r="E1734">
        <v>-11.18</v>
      </c>
    </row>
    <row r="1735" spans="1:5" hidden="1" x14ac:dyDescent="0.3">
      <c r="A1735" t="s">
        <v>5</v>
      </c>
      <c r="B1735" t="s">
        <v>6</v>
      </c>
      <c r="C1735" s="1">
        <v>26846</v>
      </c>
      <c r="D1735" t="s">
        <v>113</v>
      </c>
      <c r="E1735">
        <v>4.7699999999999996</v>
      </c>
    </row>
    <row r="1736" spans="1:5" hidden="1" x14ac:dyDescent="0.3">
      <c r="A1736" t="s">
        <v>325</v>
      </c>
      <c r="B1736" t="s">
        <v>326</v>
      </c>
      <c r="C1736" s="1">
        <v>26846</v>
      </c>
      <c r="D1736" t="s">
        <v>113</v>
      </c>
      <c r="E1736">
        <v>3.39</v>
      </c>
    </row>
    <row r="1737" spans="1:5" x14ac:dyDescent="0.3">
      <c r="A1737" t="s">
        <v>329</v>
      </c>
      <c r="B1737" t="s">
        <v>330</v>
      </c>
      <c r="C1737" s="1">
        <v>26846</v>
      </c>
      <c r="D1737" t="s">
        <v>113</v>
      </c>
      <c r="E1737">
        <v>122.64</v>
      </c>
    </row>
    <row r="1738" spans="1:5" hidden="1" x14ac:dyDescent="0.3">
      <c r="A1738" t="s">
        <v>337</v>
      </c>
      <c r="B1738" t="s">
        <v>338</v>
      </c>
      <c r="C1738" s="1">
        <v>26846</v>
      </c>
      <c r="D1738" t="s">
        <v>113</v>
      </c>
      <c r="E1738">
        <v>4.16</v>
      </c>
    </row>
    <row r="1739" spans="1:5" hidden="1" x14ac:dyDescent="0.3">
      <c r="A1739" t="s">
        <v>371</v>
      </c>
      <c r="B1739" t="s">
        <v>372</v>
      </c>
      <c r="C1739" s="1">
        <v>26846</v>
      </c>
      <c r="D1739" t="s">
        <v>113</v>
      </c>
      <c r="E1739">
        <v>-13.78</v>
      </c>
    </row>
    <row r="1740" spans="1:5" hidden="1" x14ac:dyDescent="0.3">
      <c r="A1740" t="s">
        <v>5</v>
      </c>
      <c r="B1740" t="s">
        <v>6</v>
      </c>
      <c r="C1740" s="1">
        <v>26755</v>
      </c>
      <c r="D1740" t="s">
        <v>112</v>
      </c>
      <c r="E1740">
        <v>6.32</v>
      </c>
    </row>
    <row r="1741" spans="1:5" hidden="1" x14ac:dyDescent="0.3">
      <c r="A1741" t="s">
        <v>325</v>
      </c>
      <c r="B1741" t="s">
        <v>326</v>
      </c>
      <c r="C1741" s="1">
        <v>26755</v>
      </c>
      <c r="D1741" t="s">
        <v>112</v>
      </c>
      <c r="E1741">
        <v>3.11</v>
      </c>
    </row>
    <row r="1742" spans="1:5" x14ac:dyDescent="0.3">
      <c r="A1742" t="s">
        <v>329</v>
      </c>
      <c r="B1742" t="s">
        <v>330</v>
      </c>
      <c r="C1742" s="1">
        <v>26755</v>
      </c>
      <c r="D1742" t="s">
        <v>112</v>
      </c>
      <c r="E1742">
        <v>81.790000000000006</v>
      </c>
    </row>
    <row r="1743" spans="1:5" hidden="1" x14ac:dyDescent="0.3">
      <c r="A1743" t="s">
        <v>337</v>
      </c>
      <c r="B1743" t="s">
        <v>338</v>
      </c>
      <c r="C1743" s="1">
        <v>26755</v>
      </c>
      <c r="D1743" t="s">
        <v>112</v>
      </c>
      <c r="E1743">
        <v>4.3600000000000003</v>
      </c>
    </row>
    <row r="1744" spans="1:5" hidden="1" x14ac:dyDescent="0.3">
      <c r="A1744" t="s">
        <v>371</v>
      </c>
      <c r="B1744" t="s">
        <v>372</v>
      </c>
      <c r="C1744" s="1">
        <v>26755</v>
      </c>
      <c r="D1744" t="s">
        <v>112</v>
      </c>
      <c r="E1744">
        <v>-13.46</v>
      </c>
    </row>
    <row r="1745" spans="1:5" hidden="1" x14ac:dyDescent="0.3">
      <c r="A1745" t="s">
        <v>5</v>
      </c>
      <c r="B1745" t="s">
        <v>6</v>
      </c>
      <c r="C1745" s="1">
        <v>26665</v>
      </c>
      <c r="D1745" t="s">
        <v>111</v>
      </c>
      <c r="E1745">
        <v>7.56</v>
      </c>
    </row>
    <row r="1746" spans="1:5" hidden="1" x14ac:dyDescent="0.3">
      <c r="A1746" t="s">
        <v>325</v>
      </c>
      <c r="B1746" t="s">
        <v>326</v>
      </c>
      <c r="C1746" s="1">
        <v>26665</v>
      </c>
      <c r="D1746" t="s">
        <v>111</v>
      </c>
      <c r="E1746">
        <v>2.83</v>
      </c>
    </row>
    <row r="1747" spans="1:5" x14ac:dyDescent="0.3">
      <c r="A1747" t="s">
        <v>329</v>
      </c>
      <c r="B1747" t="s">
        <v>330</v>
      </c>
      <c r="C1747" s="1">
        <v>26665</v>
      </c>
      <c r="D1747" t="s">
        <v>111</v>
      </c>
      <c r="E1747">
        <v>84.3</v>
      </c>
    </row>
    <row r="1748" spans="1:5" hidden="1" x14ac:dyDescent="0.3">
      <c r="A1748" t="s">
        <v>337</v>
      </c>
      <c r="B1748" t="s">
        <v>338</v>
      </c>
      <c r="C1748" s="1">
        <v>26665</v>
      </c>
      <c r="D1748" t="s">
        <v>111</v>
      </c>
      <c r="E1748">
        <v>4.53</v>
      </c>
    </row>
    <row r="1749" spans="1:5" hidden="1" x14ac:dyDescent="0.3">
      <c r="A1749" t="s">
        <v>371</v>
      </c>
      <c r="B1749" t="s">
        <v>372</v>
      </c>
      <c r="C1749" s="1">
        <v>26665</v>
      </c>
      <c r="D1749" t="s">
        <v>111</v>
      </c>
      <c r="E1749">
        <v>-14.46</v>
      </c>
    </row>
    <row r="1750" spans="1:5" hidden="1" x14ac:dyDescent="0.3">
      <c r="A1750" t="s">
        <v>5</v>
      </c>
      <c r="B1750" t="s">
        <v>6</v>
      </c>
      <c r="C1750" s="1">
        <v>26573</v>
      </c>
      <c r="D1750" t="s">
        <v>110</v>
      </c>
      <c r="E1750">
        <v>6.89</v>
      </c>
    </row>
    <row r="1751" spans="1:5" hidden="1" x14ac:dyDescent="0.3">
      <c r="A1751" t="s">
        <v>325</v>
      </c>
      <c r="B1751" t="s">
        <v>326</v>
      </c>
      <c r="C1751" s="1">
        <v>26573</v>
      </c>
      <c r="D1751" t="s">
        <v>110</v>
      </c>
      <c r="E1751">
        <v>2.93</v>
      </c>
    </row>
    <row r="1752" spans="1:5" x14ac:dyDescent="0.3">
      <c r="A1752" t="s">
        <v>329</v>
      </c>
      <c r="B1752" t="s">
        <v>330</v>
      </c>
      <c r="C1752" s="1">
        <v>26573</v>
      </c>
      <c r="D1752" t="s">
        <v>110</v>
      </c>
      <c r="E1752">
        <v>8.36</v>
      </c>
    </row>
    <row r="1753" spans="1:5" hidden="1" x14ac:dyDescent="0.3">
      <c r="A1753" t="s">
        <v>337</v>
      </c>
      <c r="B1753" t="s">
        <v>338</v>
      </c>
      <c r="C1753" s="1">
        <v>26573</v>
      </c>
      <c r="D1753" t="s">
        <v>110</v>
      </c>
      <c r="E1753">
        <v>4.32</v>
      </c>
    </row>
    <row r="1754" spans="1:5" hidden="1" x14ac:dyDescent="0.3">
      <c r="A1754" t="s">
        <v>371</v>
      </c>
      <c r="B1754" t="s">
        <v>372</v>
      </c>
      <c r="C1754" s="1">
        <v>26573</v>
      </c>
      <c r="D1754" t="s">
        <v>110</v>
      </c>
      <c r="E1754">
        <v>-9.5399999999999991</v>
      </c>
    </row>
    <row r="1755" spans="1:5" hidden="1" x14ac:dyDescent="0.3">
      <c r="A1755" t="s">
        <v>5</v>
      </c>
      <c r="B1755" t="s">
        <v>6</v>
      </c>
      <c r="C1755" s="1">
        <v>26481</v>
      </c>
      <c r="D1755" t="s">
        <v>109</v>
      </c>
      <c r="E1755">
        <v>5.38</v>
      </c>
    </row>
    <row r="1756" spans="1:5" hidden="1" x14ac:dyDescent="0.3">
      <c r="A1756" t="s">
        <v>325</v>
      </c>
      <c r="B1756" t="s">
        <v>326</v>
      </c>
      <c r="C1756" s="1">
        <v>26481</v>
      </c>
      <c r="D1756" t="s">
        <v>109</v>
      </c>
      <c r="E1756">
        <v>2.95</v>
      </c>
    </row>
    <row r="1757" spans="1:5" x14ac:dyDescent="0.3">
      <c r="A1757" t="s">
        <v>329</v>
      </c>
      <c r="B1757" t="s">
        <v>330</v>
      </c>
      <c r="C1757" s="1">
        <v>26481</v>
      </c>
      <c r="D1757" t="s">
        <v>109</v>
      </c>
      <c r="E1757">
        <v>-13.4</v>
      </c>
    </row>
    <row r="1758" spans="1:5" hidden="1" x14ac:dyDescent="0.3">
      <c r="A1758" t="s">
        <v>337</v>
      </c>
      <c r="B1758" t="s">
        <v>338</v>
      </c>
      <c r="C1758" s="1">
        <v>26481</v>
      </c>
      <c r="D1758" t="s">
        <v>109</v>
      </c>
      <c r="E1758">
        <v>3.65</v>
      </c>
    </row>
    <row r="1759" spans="1:5" hidden="1" x14ac:dyDescent="0.3">
      <c r="A1759" t="s">
        <v>371</v>
      </c>
      <c r="B1759" t="s">
        <v>372</v>
      </c>
      <c r="C1759" s="1">
        <v>26481</v>
      </c>
      <c r="D1759" t="s">
        <v>109</v>
      </c>
      <c r="E1759">
        <v>-7.72</v>
      </c>
    </row>
    <row r="1760" spans="1:5" hidden="1" x14ac:dyDescent="0.3">
      <c r="A1760" t="s">
        <v>5</v>
      </c>
      <c r="B1760" t="s">
        <v>6</v>
      </c>
      <c r="C1760" s="1">
        <v>26390</v>
      </c>
      <c r="D1760" t="s">
        <v>108</v>
      </c>
      <c r="E1760">
        <v>5.25</v>
      </c>
    </row>
    <row r="1761" spans="1:5" hidden="1" x14ac:dyDescent="0.3">
      <c r="A1761" t="s">
        <v>325</v>
      </c>
      <c r="B1761" t="s">
        <v>326</v>
      </c>
      <c r="C1761" s="1">
        <v>26390</v>
      </c>
      <c r="D1761" t="s">
        <v>108</v>
      </c>
      <c r="E1761">
        <v>3.05</v>
      </c>
    </row>
    <row r="1762" spans="1:5" x14ac:dyDescent="0.3">
      <c r="A1762" t="s">
        <v>329</v>
      </c>
      <c r="B1762" t="s">
        <v>330</v>
      </c>
      <c r="C1762" s="1">
        <v>26390</v>
      </c>
      <c r="D1762" t="s">
        <v>108</v>
      </c>
      <c r="E1762">
        <v>-5.85</v>
      </c>
    </row>
    <row r="1763" spans="1:5" hidden="1" x14ac:dyDescent="0.3">
      <c r="A1763" t="s">
        <v>337</v>
      </c>
      <c r="B1763" t="s">
        <v>338</v>
      </c>
      <c r="C1763" s="1">
        <v>26390</v>
      </c>
      <c r="D1763" t="s">
        <v>108</v>
      </c>
      <c r="E1763">
        <v>3.21</v>
      </c>
    </row>
    <row r="1764" spans="1:5" hidden="1" x14ac:dyDescent="0.3">
      <c r="A1764" t="s">
        <v>371</v>
      </c>
      <c r="B1764" t="s">
        <v>372</v>
      </c>
      <c r="C1764" s="1">
        <v>26390</v>
      </c>
      <c r="D1764" t="s">
        <v>108</v>
      </c>
      <c r="E1764">
        <v>-3.39</v>
      </c>
    </row>
    <row r="1765" spans="1:5" hidden="1" x14ac:dyDescent="0.3">
      <c r="A1765" t="s">
        <v>5</v>
      </c>
      <c r="B1765" t="s">
        <v>6</v>
      </c>
      <c r="C1765" s="1">
        <v>26299</v>
      </c>
      <c r="D1765" t="s">
        <v>107</v>
      </c>
      <c r="E1765">
        <v>3.47</v>
      </c>
    </row>
    <row r="1766" spans="1:5" hidden="1" x14ac:dyDescent="0.3">
      <c r="A1766" t="s">
        <v>325</v>
      </c>
      <c r="B1766" t="s">
        <v>326</v>
      </c>
      <c r="C1766" s="1">
        <v>26299</v>
      </c>
      <c r="D1766" t="s">
        <v>107</v>
      </c>
      <c r="E1766">
        <v>3.32</v>
      </c>
    </row>
    <row r="1767" spans="1:5" x14ac:dyDescent="0.3">
      <c r="A1767" t="s">
        <v>329</v>
      </c>
      <c r="B1767" t="s">
        <v>330</v>
      </c>
      <c r="C1767" s="1">
        <v>26299</v>
      </c>
      <c r="D1767" t="s">
        <v>107</v>
      </c>
      <c r="E1767">
        <v>-8.0399999999999991</v>
      </c>
    </row>
    <row r="1768" spans="1:5" hidden="1" x14ac:dyDescent="0.3">
      <c r="A1768" t="s">
        <v>337</v>
      </c>
      <c r="B1768" t="s">
        <v>338</v>
      </c>
      <c r="C1768" s="1">
        <v>26299</v>
      </c>
      <c r="D1768" t="s">
        <v>107</v>
      </c>
      <c r="E1768">
        <v>2.59</v>
      </c>
    </row>
    <row r="1769" spans="1:5" hidden="1" x14ac:dyDescent="0.3">
      <c r="A1769" t="s">
        <v>371</v>
      </c>
      <c r="B1769" t="s">
        <v>372</v>
      </c>
      <c r="C1769" s="1">
        <v>26299</v>
      </c>
      <c r="D1769" t="s">
        <v>107</v>
      </c>
      <c r="E1769">
        <v>-2.8</v>
      </c>
    </row>
    <row r="1770" spans="1:5" hidden="1" x14ac:dyDescent="0.3">
      <c r="A1770" t="s">
        <v>5</v>
      </c>
      <c r="B1770" t="s">
        <v>6</v>
      </c>
      <c r="C1770" s="1">
        <v>26207</v>
      </c>
      <c r="D1770" t="s">
        <v>106</v>
      </c>
      <c r="E1770">
        <v>4.37</v>
      </c>
    </row>
    <row r="1771" spans="1:5" hidden="1" x14ac:dyDescent="0.3">
      <c r="A1771" t="s">
        <v>325</v>
      </c>
      <c r="B1771" t="s">
        <v>326</v>
      </c>
      <c r="C1771" s="1">
        <v>26207</v>
      </c>
      <c r="D1771" t="s">
        <v>106</v>
      </c>
      <c r="E1771">
        <v>3.43</v>
      </c>
    </row>
    <row r="1772" spans="1:5" x14ac:dyDescent="0.3">
      <c r="A1772" t="s">
        <v>329</v>
      </c>
      <c r="B1772" t="s">
        <v>330</v>
      </c>
      <c r="C1772" s="1">
        <v>26207</v>
      </c>
      <c r="D1772" t="s">
        <v>106</v>
      </c>
      <c r="E1772">
        <v>-14.68</v>
      </c>
    </row>
    <row r="1773" spans="1:5" hidden="1" x14ac:dyDescent="0.3">
      <c r="A1773" t="s">
        <v>337</v>
      </c>
      <c r="B1773" t="s">
        <v>338</v>
      </c>
      <c r="C1773" s="1">
        <v>26207</v>
      </c>
      <c r="D1773" t="s">
        <v>106</v>
      </c>
      <c r="E1773">
        <v>1.83</v>
      </c>
    </row>
    <row r="1774" spans="1:5" hidden="1" x14ac:dyDescent="0.3">
      <c r="A1774" t="s">
        <v>371</v>
      </c>
      <c r="B1774" t="s">
        <v>372</v>
      </c>
      <c r="C1774" s="1">
        <v>26207</v>
      </c>
      <c r="D1774" t="s">
        <v>106</v>
      </c>
      <c r="E1774">
        <v>1.71</v>
      </c>
    </row>
    <row r="1775" spans="1:5" hidden="1" x14ac:dyDescent="0.3">
      <c r="A1775" t="s">
        <v>5</v>
      </c>
      <c r="B1775" t="s">
        <v>6</v>
      </c>
      <c r="C1775" s="1">
        <v>26115</v>
      </c>
      <c r="D1775" t="s">
        <v>105</v>
      </c>
      <c r="E1775">
        <v>3.01</v>
      </c>
    </row>
    <row r="1776" spans="1:5" hidden="1" x14ac:dyDescent="0.3">
      <c r="A1776" t="s">
        <v>325</v>
      </c>
      <c r="B1776" t="s">
        <v>326</v>
      </c>
      <c r="C1776" s="1">
        <v>26115</v>
      </c>
      <c r="D1776" t="s">
        <v>105</v>
      </c>
      <c r="E1776">
        <v>4.54</v>
      </c>
    </row>
    <row r="1777" spans="1:5" x14ac:dyDescent="0.3">
      <c r="A1777" t="s">
        <v>329</v>
      </c>
      <c r="B1777" t="s">
        <v>330</v>
      </c>
      <c r="C1777" s="1">
        <v>26115</v>
      </c>
      <c r="D1777" t="s">
        <v>105</v>
      </c>
      <c r="E1777">
        <v>-18.34</v>
      </c>
    </row>
    <row r="1778" spans="1:5" hidden="1" x14ac:dyDescent="0.3">
      <c r="A1778" t="s">
        <v>337</v>
      </c>
      <c r="B1778" t="s">
        <v>338</v>
      </c>
      <c r="C1778" s="1">
        <v>26115</v>
      </c>
      <c r="D1778" t="s">
        <v>105</v>
      </c>
      <c r="E1778">
        <v>0.64</v>
      </c>
    </row>
    <row r="1779" spans="1:5" hidden="1" x14ac:dyDescent="0.3">
      <c r="A1779" t="s">
        <v>371</v>
      </c>
      <c r="B1779" t="s">
        <v>372</v>
      </c>
      <c r="C1779" s="1">
        <v>26115</v>
      </c>
      <c r="D1779" t="s">
        <v>105</v>
      </c>
      <c r="E1779">
        <v>16.760000000000002</v>
      </c>
    </row>
    <row r="1780" spans="1:5" hidden="1" x14ac:dyDescent="0.3">
      <c r="A1780" t="s">
        <v>5</v>
      </c>
      <c r="B1780" t="s">
        <v>6</v>
      </c>
      <c r="C1780" s="1">
        <v>26024</v>
      </c>
      <c r="D1780" t="s">
        <v>104</v>
      </c>
      <c r="E1780">
        <v>3.11</v>
      </c>
    </row>
    <row r="1781" spans="1:5" hidden="1" x14ac:dyDescent="0.3">
      <c r="A1781" t="s">
        <v>325</v>
      </c>
      <c r="B1781" t="s">
        <v>326</v>
      </c>
      <c r="C1781" s="1">
        <v>26024</v>
      </c>
      <c r="D1781" t="s">
        <v>104</v>
      </c>
      <c r="E1781">
        <v>5.01</v>
      </c>
    </row>
    <row r="1782" spans="1:5" x14ac:dyDescent="0.3">
      <c r="A1782" t="s">
        <v>329</v>
      </c>
      <c r="B1782" t="s">
        <v>330</v>
      </c>
      <c r="C1782" s="1">
        <v>26024</v>
      </c>
      <c r="D1782" t="s">
        <v>104</v>
      </c>
      <c r="E1782">
        <v>-42.09</v>
      </c>
    </row>
    <row r="1783" spans="1:5" hidden="1" x14ac:dyDescent="0.3">
      <c r="A1783" t="s">
        <v>337</v>
      </c>
      <c r="B1783" t="s">
        <v>338</v>
      </c>
      <c r="C1783" s="1">
        <v>26024</v>
      </c>
      <c r="D1783" t="s">
        <v>104</v>
      </c>
      <c r="E1783">
        <v>0.02</v>
      </c>
    </row>
    <row r="1784" spans="1:5" hidden="1" x14ac:dyDescent="0.3">
      <c r="A1784" t="s">
        <v>371</v>
      </c>
      <c r="B1784" t="s">
        <v>372</v>
      </c>
      <c r="C1784" s="1">
        <v>26024</v>
      </c>
      <c r="D1784" t="s">
        <v>104</v>
      </c>
      <c r="E1784">
        <v>23.77</v>
      </c>
    </row>
    <row r="1785" spans="1:5" hidden="1" x14ac:dyDescent="0.3">
      <c r="A1785" t="s">
        <v>5</v>
      </c>
      <c r="B1785" t="s">
        <v>6</v>
      </c>
      <c r="C1785" s="1">
        <v>25934</v>
      </c>
      <c r="D1785" t="s">
        <v>103</v>
      </c>
      <c r="E1785">
        <v>2.7</v>
      </c>
    </row>
    <row r="1786" spans="1:5" hidden="1" x14ac:dyDescent="0.3">
      <c r="A1786" t="s">
        <v>325</v>
      </c>
      <c r="B1786" t="s">
        <v>326</v>
      </c>
      <c r="C1786" s="1">
        <v>25934</v>
      </c>
      <c r="D1786" t="s">
        <v>103</v>
      </c>
      <c r="E1786">
        <v>5.86</v>
      </c>
    </row>
    <row r="1787" spans="1:5" x14ac:dyDescent="0.3">
      <c r="A1787" t="s">
        <v>329</v>
      </c>
      <c r="B1787" t="s">
        <v>330</v>
      </c>
      <c r="C1787" s="1">
        <v>25934</v>
      </c>
      <c r="D1787" t="s">
        <v>103</v>
      </c>
      <c r="E1787">
        <v>-55.01</v>
      </c>
    </row>
    <row r="1788" spans="1:5" hidden="1" x14ac:dyDescent="0.3">
      <c r="A1788" t="s">
        <v>337</v>
      </c>
      <c r="B1788" t="s">
        <v>338</v>
      </c>
      <c r="C1788" s="1">
        <v>25934</v>
      </c>
      <c r="D1788" t="s">
        <v>103</v>
      </c>
      <c r="E1788">
        <v>-0.65</v>
      </c>
    </row>
    <row r="1789" spans="1:5" hidden="1" x14ac:dyDescent="0.3">
      <c r="A1789" t="s">
        <v>371</v>
      </c>
      <c r="B1789" t="s">
        <v>372</v>
      </c>
      <c r="C1789" s="1">
        <v>25934</v>
      </c>
      <c r="D1789" t="s">
        <v>103</v>
      </c>
      <c r="E1789">
        <v>42.38</v>
      </c>
    </row>
    <row r="1790" spans="1:5" hidden="1" x14ac:dyDescent="0.3">
      <c r="A1790" t="s">
        <v>5</v>
      </c>
      <c r="B1790" t="s">
        <v>6</v>
      </c>
      <c r="C1790" s="1">
        <v>25842</v>
      </c>
      <c r="D1790" t="s">
        <v>102</v>
      </c>
      <c r="E1790">
        <v>-0.17</v>
      </c>
    </row>
    <row r="1791" spans="1:5" hidden="1" x14ac:dyDescent="0.3">
      <c r="A1791" t="s">
        <v>325</v>
      </c>
      <c r="B1791" t="s">
        <v>326</v>
      </c>
      <c r="C1791" s="1">
        <v>25842</v>
      </c>
      <c r="D1791" t="s">
        <v>102</v>
      </c>
      <c r="E1791">
        <v>6.46</v>
      </c>
    </row>
    <row r="1792" spans="1:5" x14ac:dyDescent="0.3">
      <c r="A1792" t="s">
        <v>329</v>
      </c>
      <c r="B1792" t="s">
        <v>330</v>
      </c>
      <c r="C1792" s="1">
        <v>25842</v>
      </c>
      <c r="D1792" t="s">
        <v>102</v>
      </c>
      <c r="E1792">
        <v>-37.729999999999997</v>
      </c>
    </row>
    <row r="1793" spans="1:5" hidden="1" x14ac:dyDescent="0.3">
      <c r="A1793" t="s">
        <v>337</v>
      </c>
      <c r="B1793" t="s">
        <v>338</v>
      </c>
      <c r="C1793" s="1">
        <v>25842</v>
      </c>
      <c r="D1793" t="s">
        <v>102</v>
      </c>
      <c r="E1793">
        <v>-0.81</v>
      </c>
    </row>
    <row r="1794" spans="1:5" hidden="1" x14ac:dyDescent="0.3">
      <c r="A1794" t="s">
        <v>371</v>
      </c>
      <c r="B1794" t="s">
        <v>372</v>
      </c>
      <c r="C1794" s="1">
        <v>25842</v>
      </c>
      <c r="D1794" t="s">
        <v>102</v>
      </c>
      <c r="E1794">
        <v>63.53</v>
      </c>
    </row>
    <row r="1795" spans="1:5" hidden="1" x14ac:dyDescent="0.3">
      <c r="A1795" t="s">
        <v>5</v>
      </c>
      <c r="B1795" t="s">
        <v>6</v>
      </c>
      <c r="C1795" s="1">
        <v>25750</v>
      </c>
      <c r="D1795" t="s">
        <v>101</v>
      </c>
      <c r="E1795">
        <v>0.42</v>
      </c>
    </row>
    <row r="1796" spans="1:5" hidden="1" x14ac:dyDescent="0.3">
      <c r="A1796" t="s">
        <v>325</v>
      </c>
      <c r="B1796" t="s">
        <v>326</v>
      </c>
      <c r="C1796" s="1">
        <v>25750</v>
      </c>
      <c r="D1796" t="s">
        <v>101</v>
      </c>
      <c r="E1796">
        <v>6.2</v>
      </c>
    </row>
    <row r="1797" spans="1:5" x14ac:dyDescent="0.3">
      <c r="A1797" t="s">
        <v>329</v>
      </c>
      <c r="B1797" t="s">
        <v>330</v>
      </c>
      <c r="C1797" s="1">
        <v>25750</v>
      </c>
      <c r="D1797" t="s">
        <v>101</v>
      </c>
      <c r="E1797">
        <v>-25.34</v>
      </c>
    </row>
    <row r="1798" spans="1:5" hidden="1" x14ac:dyDescent="0.3">
      <c r="A1798" t="s">
        <v>337</v>
      </c>
      <c r="B1798" t="s">
        <v>338</v>
      </c>
      <c r="C1798" s="1">
        <v>25750</v>
      </c>
      <c r="D1798" t="s">
        <v>101</v>
      </c>
      <c r="E1798">
        <v>0.13</v>
      </c>
    </row>
    <row r="1799" spans="1:5" hidden="1" x14ac:dyDescent="0.3">
      <c r="A1799" t="s">
        <v>371</v>
      </c>
      <c r="B1799" t="s">
        <v>372</v>
      </c>
      <c r="C1799" s="1">
        <v>25750</v>
      </c>
      <c r="D1799" t="s">
        <v>101</v>
      </c>
      <c r="E1799">
        <v>44.86</v>
      </c>
    </row>
    <row r="1800" spans="1:5" hidden="1" x14ac:dyDescent="0.3">
      <c r="A1800" t="s">
        <v>5</v>
      </c>
      <c r="B1800" t="s">
        <v>6</v>
      </c>
      <c r="C1800" s="1">
        <v>25659</v>
      </c>
      <c r="D1800" t="s">
        <v>100</v>
      </c>
      <c r="E1800">
        <v>0.16</v>
      </c>
    </row>
    <row r="1801" spans="1:5" hidden="1" x14ac:dyDescent="0.3">
      <c r="A1801" t="s">
        <v>325</v>
      </c>
      <c r="B1801" t="s">
        <v>326</v>
      </c>
      <c r="C1801" s="1">
        <v>25659</v>
      </c>
      <c r="D1801" t="s">
        <v>100</v>
      </c>
      <c r="E1801">
        <v>6.29</v>
      </c>
    </row>
    <row r="1802" spans="1:5" x14ac:dyDescent="0.3">
      <c r="A1802" t="s">
        <v>329</v>
      </c>
      <c r="B1802" t="s">
        <v>330</v>
      </c>
      <c r="C1802" s="1">
        <v>25659</v>
      </c>
      <c r="D1802" t="s">
        <v>100</v>
      </c>
      <c r="E1802">
        <v>-5.28</v>
      </c>
    </row>
    <row r="1803" spans="1:5" hidden="1" x14ac:dyDescent="0.3">
      <c r="A1803" t="s">
        <v>337</v>
      </c>
      <c r="B1803" t="s">
        <v>338</v>
      </c>
      <c r="C1803" s="1">
        <v>25659</v>
      </c>
      <c r="D1803" t="s">
        <v>100</v>
      </c>
      <c r="E1803">
        <v>1.17</v>
      </c>
    </row>
    <row r="1804" spans="1:5" hidden="1" x14ac:dyDescent="0.3">
      <c r="A1804" t="s">
        <v>371</v>
      </c>
      <c r="B1804" t="s">
        <v>372</v>
      </c>
      <c r="C1804" s="1">
        <v>25659</v>
      </c>
      <c r="D1804" t="s">
        <v>100</v>
      </c>
      <c r="E1804">
        <v>38.86</v>
      </c>
    </row>
    <row r="1805" spans="1:5" hidden="1" x14ac:dyDescent="0.3">
      <c r="A1805" t="s">
        <v>5</v>
      </c>
      <c r="B1805" t="s">
        <v>6</v>
      </c>
      <c r="C1805" s="1">
        <v>25569</v>
      </c>
      <c r="D1805" t="s">
        <v>99</v>
      </c>
      <c r="E1805">
        <v>0.32</v>
      </c>
    </row>
    <row r="1806" spans="1:5" hidden="1" x14ac:dyDescent="0.3">
      <c r="A1806" t="s">
        <v>325</v>
      </c>
      <c r="B1806" t="s">
        <v>326</v>
      </c>
      <c r="C1806" s="1">
        <v>25569</v>
      </c>
      <c r="D1806" t="s">
        <v>99</v>
      </c>
      <c r="E1806">
        <v>6.03</v>
      </c>
    </row>
    <row r="1807" spans="1:5" x14ac:dyDescent="0.3">
      <c r="A1807" t="s">
        <v>329</v>
      </c>
      <c r="B1807" t="s">
        <v>330</v>
      </c>
      <c r="C1807" s="1">
        <v>25569</v>
      </c>
      <c r="D1807" t="s">
        <v>99</v>
      </c>
      <c r="E1807">
        <v>30.55</v>
      </c>
    </row>
    <row r="1808" spans="1:5" hidden="1" x14ac:dyDescent="0.3">
      <c r="A1808" t="s">
        <v>337</v>
      </c>
      <c r="B1808" t="s">
        <v>338</v>
      </c>
      <c r="C1808" s="1">
        <v>25569</v>
      </c>
      <c r="D1808" t="s">
        <v>99</v>
      </c>
      <c r="E1808">
        <v>2.34</v>
      </c>
    </row>
    <row r="1809" spans="1:5" hidden="1" x14ac:dyDescent="0.3">
      <c r="A1809" t="s">
        <v>371</v>
      </c>
      <c r="B1809" t="s">
        <v>372</v>
      </c>
      <c r="C1809" s="1">
        <v>25569</v>
      </c>
      <c r="D1809" t="s">
        <v>99</v>
      </c>
      <c r="E1809">
        <v>22.56</v>
      </c>
    </row>
    <row r="1810" spans="1:5" hidden="1" x14ac:dyDescent="0.3">
      <c r="A1810" t="s">
        <v>5</v>
      </c>
      <c r="B1810" t="s">
        <v>6</v>
      </c>
      <c r="C1810" s="1">
        <v>25477</v>
      </c>
      <c r="D1810" t="s">
        <v>98</v>
      </c>
      <c r="E1810">
        <v>2.04</v>
      </c>
    </row>
    <row r="1811" spans="1:5" hidden="1" x14ac:dyDescent="0.3">
      <c r="A1811" t="s">
        <v>325</v>
      </c>
      <c r="B1811" t="s">
        <v>326</v>
      </c>
      <c r="C1811" s="1">
        <v>25477</v>
      </c>
      <c r="D1811" t="s">
        <v>98</v>
      </c>
      <c r="E1811">
        <v>5.84</v>
      </c>
    </row>
    <row r="1812" spans="1:5" x14ac:dyDescent="0.3">
      <c r="A1812" t="s">
        <v>329</v>
      </c>
      <c r="B1812" t="s">
        <v>330</v>
      </c>
      <c r="C1812" s="1">
        <v>25477</v>
      </c>
      <c r="D1812" t="s">
        <v>98</v>
      </c>
      <c r="E1812">
        <v>51.09</v>
      </c>
    </row>
    <row r="1813" spans="1:5" hidden="1" x14ac:dyDescent="0.3">
      <c r="A1813" t="s">
        <v>337</v>
      </c>
      <c r="B1813" t="s">
        <v>338</v>
      </c>
      <c r="C1813" s="1">
        <v>25477</v>
      </c>
      <c r="D1813" t="s">
        <v>98</v>
      </c>
      <c r="E1813">
        <v>3.14</v>
      </c>
    </row>
    <row r="1814" spans="1:5" hidden="1" x14ac:dyDescent="0.3">
      <c r="A1814" t="s">
        <v>371</v>
      </c>
      <c r="B1814" t="s">
        <v>372</v>
      </c>
      <c r="C1814" s="1">
        <v>25477</v>
      </c>
      <c r="D1814" t="s">
        <v>98</v>
      </c>
      <c r="E1814">
        <v>4.91</v>
      </c>
    </row>
    <row r="1815" spans="1:5" hidden="1" x14ac:dyDescent="0.3">
      <c r="A1815" t="s">
        <v>5</v>
      </c>
      <c r="B1815" t="s">
        <v>6</v>
      </c>
      <c r="C1815" s="1">
        <v>25385</v>
      </c>
      <c r="D1815" t="s">
        <v>97</v>
      </c>
      <c r="E1815">
        <v>2.95</v>
      </c>
    </row>
    <row r="1816" spans="1:5" hidden="1" x14ac:dyDescent="0.3">
      <c r="A1816" t="s">
        <v>325</v>
      </c>
      <c r="B1816" t="s">
        <v>326</v>
      </c>
      <c r="C1816" s="1">
        <v>25385</v>
      </c>
      <c r="D1816" t="s">
        <v>97</v>
      </c>
      <c r="E1816">
        <v>5.93</v>
      </c>
    </row>
    <row r="1817" spans="1:5" x14ac:dyDescent="0.3">
      <c r="A1817" t="s">
        <v>329</v>
      </c>
      <c r="B1817" t="s">
        <v>330</v>
      </c>
      <c r="C1817" s="1">
        <v>25385</v>
      </c>
      <c r="D1817" t="s">
        <v>97</v>
      </c>
      <c r="E1817">
        <v>51.05</v>
      </c>
    </row>
    <row r="1818" spans="1:5" hidden="1" x14ac:dyDescent="0.3">
      <c r="A1818" t="s">
        <v>337</v>
      </c>
      <c r="B1818" t="s">
        <v>338</v>
      </c>
      <c r="C1818" s="1">
        <v>25385</v>
      </c>
      <c r="D1818" t="s">
        <v>97</v>
      </c>
      <c r="E1818">
        <v>3.76</v>
      </c>
    </row>
    <row r="1819" spans="1:5" hidden="1" x14ac:dyDescent="0.3">
      <c r="A1819" t="s">
        <v>371</v>
      </c>
      <c r="B1819" t="s">
        <v>372</v>
      </c>
      <c r="C1819" s="1">
        <v>25385</v>
      </c>
      <c r="D1819" t="s">
        <v>97</v>
      </c>
      <c r="E1819">
        <v>0.96</v>
      </c>
    </row>
    <row r="1820" spans="1:5" hidden="1" x14ac:dyDescent="0.3">
      <c r="A1820" t="s">
        <v>5</v>
      </c>
      <c r="B1820" t="s">
        <v>6</v>
      </c>
      <c r="C1820" s="1">
        <v>25294</v>
      </c>
      <c r="D1820" t="s">
        <v>96</v>
      </c>
      <c r="E1820">
        <v>3.06</v>
      </c>
    </row>
    <row r="1821" spans="1:5" hidden="1" x14ac:dyDescent="0.3">
      <c r="A1821" t="s">
        <v>325</v>
      </c>
      <c r="B1821" t="s">
        <v>326</v>
      </c>
      <c r="C1821" s="1">
        <v>25294</v>
      </c>
      <c r="D1821" t="s">
        <v>96</v>
      </c>
      <c r="E1821">
        <v>5.92</v>
      </c>
    </row>
    <row r="1822" spans="1:5" x14ac:dyDescent="0.3">
      <c r="A1822" t="s">
        <v>329</v>
      </c>
      <c r="B1822" t="s">
        <v>330</v>
      </c>
      <c r="C1822" s="1">
        <v>25294</v>
      </c>
      <c r="D1822" t="s">
        <v>96</v>
      </c>
      <c r="E1822">
        <v>39.18</v>
      </c>
    </row>
    <row r="1823" spans="1:5" hidden="1" x14ac:dyDescent="0.3">
      <c r="A1823" t="s">
        <v>337</v>
      </c>
      <c r="B1823" t="s">
        <v>338</v>
      </c>
      <c r="C1823" s="1">
        <v>25294</v>
      </c>
      <c r="D1823" t="s">
        <v>96</v>
      </c>
      <c r="E1823">
        <v>3.9</v>
      </c>
    </row>
    <row r="1824" spans="1:5" hidden="1" x14ac:dyDescent="0.3">
      <c r="A1824" t="s">
        <v>371</v>
      </c>
      <c r="B1824" t="s">
        <v>372</v>
      </c>
      <c r="C1824" s="1">
        <v>25294</v>
      </c>
      <c r="D1824" t="s">
        <v>96</v>
      </c>
      <c r="E1824">
        <v>-3.76</v>
      </c>
    </row>
    <row r="1825" spans="1:5" hidden="1" x14ac:dyDescent="0.3">
      <c r="A1825" t="s">
        <v>5</v>
      </c>
      <c r="B1825" t="s">
        <v>6</v>
      </c>
      <c r="C1825" s="1">
        <v>25204</v>
      </c>
      <c r="D1825" t="s">
        <v>95</v>
      </c>
      <c r="E1825">
        <v>4.47</v>
      </c>
    </row>
    <row r="1826" spans="1:5" hidden="1" x14ac:dyDescent="0.3">
      <c r="A1826" t="s">
        <v>325</v>
      </c>
      <c r="B1826" t="s">
        <v>326</v>
      </c>
      <c r="C1826" s="1">
        <v>25204</v>
      </c>
      <c r="D1826" t="s">
        <v>95</v>
      </c>
      <c r="E1826">
        <v>5.33</v>
      </c>
    </row>
    <row r="1827" spans="1:5" x14ac:dyDescent="0.3">
      <c r="A1827" t="s">
        <v>329</v>
      </c>
      <c r="B1827" t="s">
        <v>330</v>
      </c>
      <c r="C1827" s="1">
        <v>25204</v>
      </c>
      <c r="D1827" t="s">
        <v>95</v>
      </c>
      <c r="E1827">
        <v>37.1</v>
      </c>
    </row>
    <row r="1828" spans="1:5" hidden="1" x14ac:dyDescent="0.3">
      <c r="A1828" t="s">
        <v>337</v>
      </c>
      <c r="B1828" t="s">
        <v>338</v>
      </c>
      <c r="C1828" s="1">
        <v>25204</v>
      </c>
      <c r="D1828" t="s">
        <v>95</v>
      </c>
      <c r="E1828">
        <v>3.84</v>
      </c>
    </row>
    <row r="1829" spans="1:5" hidden="1" x14ac:dyDescent="0.3">
      <c r="A1829" t="s">
        <v>371</v>
      </c>
      <c r="B1829" t="s">
        <v>372</v>
      </c>
      <c r="C1829" s="1">
        <v>25204</v>
      </c>
      <c r="D1829" t="s">
        <v>95</v>
      </c>
      <c r="E1829">
        <v>-8.92</v>
      </c>
    </row>
    <row r="1830" spans="1:5" hidden="1" x14ac:dyDescent="0.3">
      <c r="A1830" t="s">
        <v>5</v>
      </c>
      <c r="B1830" t="s">
        <v>6</v>
      </c>
      <c r="C1830" s="1">
        <v>25112</v>
      </c>
      <c r="D1830" t="s">
        <v>94</v>
      </c>
      <c r="E1830">
        <v>4.96</v>
      </c>
    </row>
    <row r="1831" spans="1:5" hidden="1" x14ac:dyDescent="0.3">
      <c r="A1831" t="s">
        <v>325</v>
      </c>
      <c r="B1831" t="s">
        <v>326</v>
      </c>
      <c r="C1831" s="1">
        <v>25112</v>
      </c>
      <c r="D1831" t="s">
        <v>94</v>
      </c>
      <c r="E1831">
        <v>5.21</v>
      </c>
    </row>
    <row r="1832" spans="1:5" x14ac:dyDescent="0.3">
      <c r="A1832" t="s">
        <v>329</v>
      </c>
      <c r="B1832" t="s">
        <v>330</v>
      </c>
      <c r="C1832" s="1">
        <v>25112</v>
      </c>
      <c r="D1832" t="s">
        <v>94</v>
      </c>
      <c r="E1832">
        <v>41.79</v>
      </c>
    </row>
    <row r="1833" spans="1:5" hidden="1" x14ac:dyDescent="0.3">
      <c r="A1833" t="s">
        <v>337</v>
      </c>
      <c r="B1833" t="s">
        <v>338</v>
      </c>
      <c r="C1833" s="1">
        <v>25112</v>
      </c>
      <c r="D1833" t="s">
        <v>94</v>
      </c>
      <c r="E1833">
        <v>3.57</v>
      </c>
    </row>
    <row r="1834" spans="1:5" hidden="1" x14ac:dyDescent="0.3">
      <c r="A1834" t="s">
        <v>371</v>
      </c>
      <c r="B1834" t="s">
        <v>372</v>
      </c>
      <c r="C1834" s="1">
        <v>25112</v>
      </c>
      <c r="D1834" t="s">
        <v>94</v>
      </c>
      <c r="E1834">
        <v>-12.82</v>
      </c>
    </row>
    <row r="1835" spans="1:5" hidden="1" x14ac:dyDescent="0.3">
      <c r="A1835" t="s">
        <v>5</v>
      </c>
      <c r="B1835" t="s">
        <v>6</v>
      </c>
      <c r="C1835" s="1">
        <v>25020</v>
      </c>
      <c r="D1835" t="s">
        <v>93</v>
      </c>
      <c r="E1835">
        <v>5.34</v>
      </c>
    </row>
    <row r="1836" spans="1:5" hidden="1" x14ac:dyDescent="0.3">
      <c r="A1836" t="s">
        <v>325</v>
      </c>
      <c r="B1836" t="s">
        <v>326</v>
      </c>
      <c r="C1836" s="1">
        <v>25020</v>
      </c>
      <c r="D1836" t="s">
        <v>93</v>
      </c>
      <c r="E1836">
        <v>4.78</v>
      </c>
    </row>
    <row r="1837" spans="1:5" x14ac:dyDescent="0.3">
      <c r="A1837" t="s">
        <v>329</v>
      </c>
      <c r="B1837" t="s">
        <v>330</v>
      </c>
      <c r="C1837" s="1">
        <v>25020</v>
      </c>
      <c r="D1837" t="s">
        <v>93</v>
      </c>
      <c r="E1837">
        <v>52.76</v>
      </c>
    </row>
    <row r="1838" spans="1:5" hidden="1" x14ac:dyDescent="0.3">
      <c r="A1838" t="s">
        <v>337</v>
      </c>
      <c r="B1838" t="s">
        <v>338</v>
      </c>
      <c r="C1838" s="1">
        <v>25020</v>
      </c>
      <c r="D1838" t="s">
        <v>93</v>
      </c>
      <c r="E1838">
        <v>3.4</v>
      </c>
    </row>
    <row r="1839" spans="1:5" hidden="1" x14ac:dyDescent="0.3">
      <c r="A1839" t="s">
        <v>371</v>
      </c>
      <c r="B1839" t="s">
        <v>372</v>
      </c>
      <c r="C1839" s="1">
        <v>25020</v>
      </c>
      <c r="D1839" t="s">
        <v>93</v>
      </c>
      <c r="E1839">
        <v>-7.03</v>
      </c>
    </row>
    <row r="1840" spans="1:5" hidden="1" x14ac:dyDescent="0.3">
      <c r="A1840" t="s">
        <v>5</v>
      </c>
      <c r="B1840" t="s">
        <v>6</v>
      </c>
      <c r="C1840" s="1">
        <v>24929</v>
      </c>
      <c r="D1840" t="s">
        <v>92</v>
      </c>
      <c r="E1840">
        <v>5.51</v>
      </c>
    </row>
    <row r="1841" spans="1:5" hidden="1" x14ac:dyDescent="0.3">
      <c r="A1841" t="s">
        <v>325</v>
      </c>
      <c r="B1841" t="s">
        <v>326</v>
      </c>
      <c r="C1841" s="1">
        <v>24929</v>
      </c>
      <c r="D1841" t="s">
        <v>92</v>
      </c>
      <c r="E1841">
        <v>4.4400000000000004</v>
      </c>
    </row>
    <row r="1842" spans="1:5" x14ac:dyDescent="0.3">
      <c r="A1842" t="s">
        <v>329</v>
      </c>
      <c r="B1842" t="s">
        <v>330</v>
      </c>
      <c r="C1842" s="1">
        <v>24929</v>
      </c>
      <c r="D1842" t="s">
        <v>92</v>
      </c>
      <c r="E1842">
        <v>49.95</v>
      </c>
    </row>
    <row r="1843" spans="1:5" hidden="1" x14ac:dyDescent="0.3">
      <c r="A1843" t="s">
        <v>337</v>
      </c>
      <c r="B1843" t="s">
        <v>338</v>
      </c>
      <c r="C1843" s="1">
        <v>24929</v>
      </c>
      <c r="D1843" t="s">
        <v>92</v>
      </c>
      <c r="E1843">
        <v>3.19</v>
      </c>
    </row>
    <row r="1844" spans="1:5" hidden="1" x14ac:dyDescent="0.3">
      <c r="A1844" t="s">
        <v>371</v>
      </c>
      <c r="B1844" t="s">
        <v>372</v>
      </c>
      <c r="C1844" s="1">
        <v>24929</v>
      </c>
      <c r="D1844" t="s">
        <v>92</v>
      </c>
      <c r="E1844">
        <v>-6.94</v>
      </c>
    </row>
    <row r="1845" spans="1:5" hidden="1" x14ac:dyDescent="0.3">
      <c r="A1845" t="s">
        <v>5</v>
      </c>
      <c r="B1845" t="s">
        <v>6</v>
      </c>
      <c r="C1845" s="1">
        <v>24838</v>
      </c>
      <c r="D1845" t="s">
        <v>91</v>
      </c>
      <c r="E1845">
        <v>3.84</v>
      </c>
    </row>
    <row r="1846" spans="1:5" hidden="1" x14ac:dyDescent="0.3">
      <c r="A1846" t="s">
        <v>325</v>
      </c>
      <c r="B1846" t="s">
        <v>326</v>
      </c>
      <c r="C1846" s="1">
        <v>24838</v>
      </c>
      <c r="D1846" t="s">
        <v>91</v>
      </c>
      <c r="E1846">
        <v>4.1900000000000004</v>
      </c>
    </row>
    <row r="1847" spans="1:5" x14ac:dyDescent="0.3">
      <c r="A1847" t="s">
        <v>329</v>
      </c>
      <c r="B1847" t="s">
        <v>330</v>
      </c>
      <c r="C1847" s="1">
        <v>24838</v>
      </c>
      <c r="D1847" t="s">
        <v>91</v>
      </c>
      <c r="E1847">
        <v>-0.68</v>
      </c>
    </row>
    <row r="1848" spans="1:5" hidden="1" x14ac:dyDescent="0.3">
      <c r="A1848" t="s">
        <v>337</v>
      </c>
      <c r="B1848" t="s">
        <v>338</v>
      </c>
      <c r="C1848" s="1">
        <v>24838</v>
      </c>
      <c r="D1848" t="s">
        <v>91</v>
      </c>
      <c r="E1848">
        <v>2.52</v>
      </c>
    </row>
    <row r="1849" spans="1:5" hidden="1" x14ac:dyDescent="0.3">
      <c r="A1849" t="s">
        <v>371</v>
      </c>
      <c r="B1849" t="s">
        <v>372</v>
      </c>
      <c r="C1849" s="1">
        <v>24838</v>
      </c>
      <c r="D1849" t="s">
        <v>91</v>
      </c>
      <c r="E1849">
        <v>-2.61</v>
      </c>
    </row>
    <row r="1850" spans="1:5" hidden="1" x14ac:dyDescent="0.3">
      <c r="A1850" t="s">
        <v>5</v>
      </c>
      <c r="B1850" t="s">
        <v>6</v>
      </c>
      <c r="C1850" s="1">
        <v>24746</v>
      </c>
      <c r="D1850" t="s">
        <v>90</v>
      </c>
      <c r="E1850">
        <v>2.67</v>
      </c>
    </row>
    <row r="1851" spans="1:5" hidden="1" x14ac:dyDescent="0.3">
      <c r="A1851" t="s">
        <v>325</v>
      </c>
      <c r="B1851" t="s">
        <v>326</v>
      </c>
      <c r="C1851" s="1">
        <v>24746</v>
      </c>
      <c r="D1851" t="s">
        <v>90</v>
      </c>
      <c r="E1851">
        <v>3.53</v>
      </c>
    </row>
    <row r="1852" spans="1:5" x14ac:dyDescent="0.3">
      <c r="A1852" t="s">
        <v>329</v>
      </c>
      <c r="B1852" t="s">
        <v>330</v>
      </c>
      <c r="C1852" s="1">
        <v>24746</v>
      </c>
      <c r="D1852" t="s">
        <v>90</v>
      </c>
      <c r="E1852">
        <v>-24.99</v>
      </c>
    </row>
    <row r="1853" spans="1:5" hidden="1" x14ac:dyDescent="0.3">
      <c r="A1853" t="s">
        <v>337</v>
      </c>
      <c r="B1853" t="s">
        <v>338</v>
      </c>
      <c r="C1853" s="1">
        <v>24746</v>
      </c>
      <c r="D1853" t="s">
        <v>90</v>
      </c>
      <c r="E1853">
        <v>2.44</v>
      </c>
    </row>
    <row r="1854" spans="1:5" hidden="1" x14ac:dyDescent="0.3">
      <c r="A1854" t="s">
        <v>371</v>
      </c>
      <c r="B1854" t="s">
        <v>372</v>
      </c>
      <c r="C1854" s="1">
        <v>24746</v>
      </c>
      <c r="D1854" t="s">
        <v>90</v>
      </c>
      <c r="E1854">
        <v>5.41</v>
      </c>
    </row>
    <row r="1855" spans="1:5" hidden="1" x14ac:dyDescent="0.3">
      <c r="A1855" t="s">
        <v>5</v>
      </c>
      <c r="B1855" t="s">
        <v>6</v>
      </c>
      <c r="C1855" s="1">
        <v>24654</v>
      </c>
      <c r="D1855" t="s">
        <v>89</v>
      </c>
      <c r="E1855">
        <v>2.74</v>
      </c>
    </row>
    <row r="1856" spans="1:5" hidden="1" x14ac:dyDescent="0.3">
      <c r="A1856" t="s">
        <v>325</v>
      </c>
      <c r="B1856" t="s">
        <v>326</v>
      </c>
      <c r="C1856" s="1">
        <v>24654</v>
      </c>
      <c r="D1856" t="s">
        <v>89</v>
      </c>
      <c r="E1856">
        <v>3.46</v>
      </c>
    </row>
    <row r="1857" spans="1:5" x14ac:dyDescent="0.3">
      <c r="A1857" t="s">
        <v>329</v>
      </c>
      <c r="B1857" t="s">
        <v>330</v>
      </c>
      <c r="C1857" s="1">
        <v>24654</v>
      </c>
      <c r="D1857" t="s">
        <v>89</v>
      </c>
      <c r="E1857">
        <v>-28.04</v>
      </c>
    </row>
    <row r="1858" spans="1:5" hidden="1" x14ac:dyDescent="0.3">
      <c r="A1858" t="s">
        <v>337</v>
      </c>
      <c r="B1858" t="s">
        <v>338</v>
      </c>
      <c r="C1858" s="1">
        <v>24654</v>
      </c>
      <c r="D1858" t="s">
        <v>89</v>
      </c>
      <c r="E1858">
        <v>2.4500000000000002</v>
      </c>
    </row>
    <row r="1859" spans="1:5" hidden="1" x14ac:dyDescent="0.3">
      <c r="A1859" t="s">
        <v>371</v>
      </c>
      <c r="B1859" t="s">
        <v>372</v>
      </c>
      <c r="C1859" s="1">
        <v>24654</v>
      </c>
      <c r="D1859" t="s">
        <v>89</v>
      </c>
      <c r="E1859">
        <v>0.88</v>
      </c>
    </row>
    <row r="1860" spans="1:5" hidden="1" x14ac:dyDescent="0.3">
      <c r="A1860" t="s">
        <v>5</v>
      </c>
      <c r="B1860" t="s">
        <v>6</v>
      </c>
      <c r="C1860" s="1">
        <v>24563</v>
      </c>
      <c r="D1860" t="s">
        <v>88</v>
      </c>
      <c r="E1860">
        <v>2.64</v>
      </c>
    </row>
    <row r="1861" spans="1:5" hidden="1" x14ac:dyDescent="0.3">
      <c r="A1861" t="s">
        <v>325</v>
      </c>
      <c r="B1861" t="s">
        <v>326</v>
      </c>
      <c r="C1861" s="1">
        <v>24563</v>
      </c>
      <c r="D1861" t="s">
        <v>88</v>
      </c>
      <c r="E1861">
        <v>3.29</v>
      </c>
    </row>
    <row r="1862" spans="1:5" x14ac:dyDescent="0.3">
      <c r="A1862" t="s">
        <v>329</v>
      </c>
      <c r="B1862" t="s">
        <v>330</v>
      </c>
      <c r="C1862" s="1">
        <v>24563</v>
      </c>
      <c r="D1862" t="s">
        <v>88</v>
      </c>
      <c r="E1862">
        <v>-18.79</v>
      </c>
    </row>
    <row r="1863" spans="1:5" hidden="1" x14ac:dyDescent="0.3">
      <c r="A1863" t="s">
        <v>337</v>
      </c>
      <c r="B1863" t="s">
        <v>338</v>
      </c>
      <c r="C1863" s="1">
        <v>24563</v>
      </c>
      <c r="D1863" t="s">
        <v>88</v>
      </c>
      <c r="E1863">
        <v>2.92</v>
      </c>
    </row>
    <row r="1864" spans="1:5" hidden="1" x14ac:dyDescent="0.3">
      <c r="A1864" t="s">
        <v>371</v>
      </c>
      <c r="B1864" t="s">
        <v>372</v>
      </c>
      <c r="C1864" s="1">
        <v>24563</v>
      </c>
      <c r="D1864" t="s">
        <v>88</v>
      </c>
      <c r="E1864">
        <v>0</v>
      </c>
    </row>
    <row r="1865" spans="1:5" hidden="1" x14ac:dyDescent="0.3">
      <c r="A1865" t="s">
        <v>5</v>
      </c>
      <c r="B1865" t="s">
        <v>6</v>
      </c>
      <c r="C1865" s="1">
        <v>24473</v>
      </c>
      <c r="D1865" t="s">
        <v>87</v>
      </c>
      <c r="E1865">
        <v>2.93</v>
      </c>
    </row>
    <row r="1866" spans="1:5" hidden="1" x14ac:dyDescent="0.3">
      <c r="A1866" t="s">
        <v>325</v>
      </c>
      <c r="B1866" t="s">
        <v>326</v>
      </c>
      <c r="C1866" s="1">
        <v>24473</v>
      </c>
      <c r="D1866" t="s">
        <v>87</v>
      </c>
      <c r="E1866">
        <v>3.53</v>
      </c>
    </row>
    <row r="1867" spans="1:5" x14ac:dyDescent="0.3">
      <c r="A1867" t="s">
        <v>329</v>
      </c>
      <c r="B1867" t="s">
        <v>330</v>
      </c>
      <c r="C1867" s="1">
        <v>24473</v>
      </c>
      <c r="D1867" t="s">
        <v>87</v>
      </c>
      <c r="E1867">
        <v>5.77</v>
      </c>
    </row>
    <row r="1868" spans="1:5" hidden="1" x14ac:dyDescent="0.3">
      <c r="A1868" t="s">
        <v>337</v>
      </c>
      <c r="B1868" t="s">
        <v>338</v>
      </c>
      <c r="C1868" s="1">
        <v>24473</v>
      </c>
      <c r="D1868" t="s">
        <v>87</v>
      </c>
      <c r="E1868">
        <v>4.16</v>
      </c>
    </row>
    <row r="1869" spans="1:5" hidden="1" x14ac:dyDescent="0.3">
      <c r="A1869" t="s">
        <v>371</v>
      </c>
      <c r="B1869" t="s">
        <v>372</v>
      </c>
      <c r="C1869" s="1">
        <v>24473</v>
      </c>
      <c r="D1869" t="s">
        <v>87</v>
      </c>
      <c r="E1869">
        <v>-0.88</v>
      </c>
    </row>
    <row r="1870" spans="1:5" hidden="1" x14ac:dyDescent="0.3">
      <c r="A1870" t="s">
        <v>5</v>
      </c>
      <c r="B1870" t="s">
        <v>6</v>
      </c>
      <c r="C1870" s="1">
        <v>24381</v>
      </c>
      <c r="D1870" t="s">
        <v>86</v>
      </c>
      <c r="E1870">
        <v>4.5</v>
      </c>
    </row>
    <row r="1871" spans="1:5" hidden="1" x14ac:dyDescent="0.3">
      <c r="A1871" t="s">
        <v>325</v>
      </c>
      <c r="B1871" t="s">
        <v>326</v>
      </c>
      <c r="C1871" s="1">
        <v>24381</v>
      </c>
      <c r="D1871" t="s">
        <v>86</v>
      </c>
      <c r="E1871">
        <v>3.44</v>
      </c>
    </row>
    <row r="1872" spans="1:5" x14ac:dyDescent="0.3">
      <c r="A1872" t="s">
        <v>329</v>
      </c>
      <c r="B1872" t="s">
        <v>330</v>
      </c>
      <c r="C1872" s="1">
        <v>24381</v>
      </c>
      <c r="D1872" t="s">
        <v>86</v>
      </c>
      <c r="E1872">
        <v>33.5</v>
      </c>
    </row>
    <row r="1873" spans="1:5" hidden="1" x14ac:dyDescent="0.3">
      <c r="A1873" t="s">
        <v>337</v>
      </c>
      <c r="B1873" t="s">
        <v>338</v>
      </c>
      <c r="C1873" s="1">
        <v>24381</v>
      </c>
      <c r="D1873" t="s">
        <v>86</v>
      </c>
      <c r="E1873">
        <v>4.8600000000000003</v>
      </c>
    </row>
    <row r="1874" spans="1:5" hidden="1" x14ac:dyDescent="0.3">
      <c r="A1874" t="s">
        <v>371</v>
      </c>
      <c r="B1874" t="s">
        <v>372</v>
      </c>
      <c r="C1874" s="1">
        <v>24381</v>
      </c>
      <c r="D1874" t="s">
        <v>86</v>
      </c>
      <c r="E1874">
        <v>-9.76</v>
      </c>
    </row>
    <row r="1875" spans="1:5" hidden="1" x14ac:dyDescent="0.3">
      <c r="A1875" t="s">
        <v>5</v>
      </c>
      <c r="B1875" t="s">
        <v>6</v>
      </c>
      <c r="C1875" s="1">
        <v>24289</v>
      </c>
      <c r="D1875" t="s">
        <v>85</v>
      </c>
      <c r="E1875">
        <v>6.04</v>
      </c>
    </row>
    <row r="1876" spans="1:5" hidden="1" x14ac:dyDescent="0.3">
      <c r="A1876" t="s">
        <v>325</v>
      </c>
      <c r="B1876" t="s">
        <v>326</v>
      </c>
      <c r="C1876" s="1">
        <v>24289</v>
      </c>
      <c r="D1876" t="s">
        <v>85</v>
      </c>
      <c r="E1876">
        <v>2.95</v>
      </c>
    </row>
    <row r="1877" spans="1:5" x14ac:dyDescent="0.3">
      <c r="A1877" t="s">
        <v>329</v>
      </c>
      <c r="B1877" t="s">
        <v>330</v>
      </c>
      <c r="C1877" s="1">
        <v>24289</v>
      </c>
      <c r="D1877" t="s">
        <v>85</v>
      </c>
      <c r="E1877">
        <v>32.700000000000003</v>
      </c>
    </row>
    <row r="1878" spans="1:5" hidden="1" x14ac:dyDescent="0.3">
      <c r="A1878" t="s">
        <v>337</v>
      </c>
      <c r="B1878" t="s">
        <v>338</v>
      </c>
      <c r="C1878" s="1">
        <v>24289</v>
      </c>
      <c r="D1878" t="s">
        <v>85</v>
      </c>
      <c r="E1878">
        <v>5.32</v>
      </c>
    </row>
    <row r="1879" spans="1:5" hidden="1" x14ac:dyDescent="0.3">
      <c r="A1879" t="s">
        <v>371</v>
      </c>
      <c r="B1879" t="s">
        <v>372</v>
      </c>
      <c r="C1879" s="1">
        <v>24289</v>
      </c>
      <c r="D1879" t="s">
        <v>85</v>
      </c>
      <c r="E1879">
        <v>-13.74</v>
      </c>
    </row>
    <row r="1880" spans="1:5" hidden="1" x14ac:dyDescent="0.3">
      <c r="A1880" t="s">
        <v>5</v>
      </c>
      <c r="B1880" t="s">
        <v>6</v>
      </c>
      <c r="C1880" s="1">
        <v>24198</v>
      </c>
      <c r="D1880" t="s">
        <v>84</v>
      </c>
      <c r="E1880">
        <v>7.49</v>
      </c>
    </row>
    <row r="1881" spans="1:5" hidden="1" x14ac:dyDescent="0.3">
      <c r="A1881" t="s">
        <v>325</v>
      </c>
      <c r="B1881" t="s">
        <v>326</v>
      </c>
      <c r="C1881" s="1">
        <v>24198</v>
      </c>
      <c r="D1881" t="s">
        <v>84</v>
      </c>
      <c r="E1881">
        <v>2.14</v>
      </c>
    </row>
    <row r="1882" spans="1:5" x14ac:dyDescent="0.3">
      <c r="A1882" t="s">
        <v>329</v>
      </c>
      <c r="B1882" t="s">
        <v>330</v>
      </c>
      <c r="C1882" s="1">
        <v>24198</v>
      </c>
      <c r="D1882" t="s">
        <v>84</v>
      </c>
      <c r="E1882">
        <v>20.420000000000002</v>
      </c>
    </row>
    <row r="1883" spans="1:5" hidden="1" x14ac:dyDescent="0.3">
      <c r="A1883" t="s">
        <v>337</v>
      </c>
      <c r="B1883" t="s">
        <v>338</v>
      </c>
      <c r="C1883" s="1">
        <v>24198</v>
      </c>
      <c r="D1883" t="s">
        <v>84</v>
      </c>
      <c r="E1883">
        <v>5.41</v>
      </c>
    </row>
    <row r="1884" spans="1:5" hidden="1" x14ac:dyDescent="0.3">
      <c r="A1884" t="s">
        <v>371</v>
      </c>
      <c r="B1884" t="s">
        <v>372</v>
      </c>
      <c r="C1884" s="1">
        <v>24198</v>
      </c>
      <c r="D1884" t="s">
        <v>84</v>
      </c>
      <c r="E1884">
        <v>-17.87</v>
      </c>
    </row>
    <row r="1885" spans="1:5" hidden="1" x14ac:dyDescent="0.3">
      <c r="A1885" t="s">
        <v>5</v>
      </c>
      <c r="B1885" t="s">
        <v>6</v>
      </c>
      <c r="C1885" s="1">
        <v>24108</v>
      </c>
      <c r="D1885" t="s">
        <v>83</v>
      </c>
      <c r="E1885">
        <v>8.48</v>
      </c>
    </row>
    <row r="1886" spans="1:5" hidden="1" x14ac:dyDescent="0.3">
      <c r="A1886" t="s">
        <v>325</v>
      </c>
      <c r="B1886" t="s">
        <v>326</v>
      </c>
      <c r="C1886" s="1">
        <v>24108</v>
      </c>
      <c r="D1886" t="s">
        <v>83</v>
      </c>
      <c r="E1886">
        <v>1.43</v>
      </c>
    </row>
    <row r="1887" spans="1:5" x14ac:dyDescent="0.3">
      <c r="A1887" t="s">
        <v>329</v>
      </c>
      <c r="B1887" t="s">
        <v>330</v>
      </c>
      <c r="C1887" s="1">
        <v>24108</v>
      </c>
      <c r="D1887" t="s">
        <v>83</v>
      </c>
      <c r="E1887">
        <v>14.66</v>
      </c>
    </row>
    <row r="1888" spans="1:5" hidden="1" x14ac:dyDescent="0.3">
      <c r="A1888" t="s">
        <v>337</v>
      </c>
      <c r="B1888" t="s">
        <v>338</v>
      </c>
      <c r="C1888" s="1">
        <v>24108</v>
      </c>
      <c r="D1888" t="s">
        <v>83</v>
      </c>
      <c r="E1888">
        <v>5.09</v>
      </c>
    </row>
    <row r="1889" spans="1:5" hidden="1" x14ac:dyDescent="0.3">
      <c r="A1889" t="s">
        <v>371</v>
      </c>
      <c r="B1889" t="s">
        <v>372</v>
      </c>
      <c r="C1889" s="1">
        <v>24108</v>
      </c>
      <c r="D1889" t="s">
        <v>83</v>
      </c>
      <c r="E1889">
        <v>-21.08</v>
      </c>
    </row>
    <row r="1890" spans="1:5" hidden="1" x14ac:dyDescent="0.3">
      <c r="A1890" t="s">
        <v>5</v>
      </c>
      <c r="B1890" t="s">
        <v>6</v>
      </c>
      <c r="C1890" s="1">
        <v>24016</v>
      </c>
      <c r="D1890" t="s">
        <v>82</v>
      </c>
      <c r="E1890">
        <v>8.4600000000000009</v>
      </c>
    </row>
    <row r="1891" spans="1:5" hidden="1" x14ac:dyDescent="0.3">
      <c r="A1891" t="s">
        <v>325</v>
      </c>
      <c r="B1891" t="s">
        <v>326</v>
      </c>
      <c r="C1891" s="1">
        <v>24016</v>
      </c>
      <c r="D1891" t="s">
        <v>82</v>
      </c>
      <c r="E1891">
        <v>1.33</v>
      </c>
    </row>
    <row r="1892" spans="1:5" x14ac:dyDescent="0.3">
      <c r="A1892" t="s">
        <v>329</v>
      </c>
      <c r="B1892" t="s">
        <v>330</v>
      </c>
      <c r="C1892" s="1">
        <v>24016</v>
      </c>
      <c r="D1892" t="s">
        <v>82</v>
      </c>
      <c r="E1892">
        <v>16.489999999999998</v>
      </c>
    </row>
    <row r="1893" spans="1:5" hidden="1" x14ac:dyDescent="0.3">
      <c r="A1893" t="s">
        <v>337</v>
      </c>
      <c r="B1893" t="s">
        <v>338</v>
      </c>
      <c r="C1893" s="1">
        <v>24016</v>
      </c>
      <c r="D1893" t="s">
        <v>82</v>
      </c>
      <c r="E1893">
        <v>4.8499999999999996</v>
      </c>
    </row>
    <row r="1894" spans="1:5" hidden="1" x14ac:dyDescent="0.3">
      <c r="A1894" t="s">
        <v>371</v>
      </c>
      <c r="B1894" t="s">
        <v>372</v>
      </c>
      <c r="C1894" s="1">
        <v>24016</v>
      </c>
      <c r="D1894" t="s">
        <v>82</v>
      </c>
      <c r="E1894">
        <v>-17.46</v>
      </c>
    </row>
    <row r="1895" spans="1:5" hidden="1" x14ac:dyDescent="0.3">
      <c r="A1895" t="s">
        <v>5</v>
      </c>
      <c r="B1895" t="s">
        <v>6</v>
      </c>
      <c r="C1895" s="1">
        <v>23924</v>
      </c>
      <c r="D1895" t="s">
        <v>81</v>
      </c>
      <c r="E1895">
        <v>6.35</v>
      </c>
    </row>
    <row r="1896" spans="1:5" hidden="1" x14ac:dyDescent="0.3">
      <c r="A1896" t="s">
        <v>325</v>
      </c>
      <c r="B1896" t="s">
        <v>326</v>
      </c>
      <c r="C1896" s="1">
        <v>23924</v>
      </c>
      <c r="D1896" t="s">
        <v>81</v>
      </c>
      <c r="E1896">
        <v>1.34</v>
      </c>
    </row>
    <row r="1897" spans="1:5" x14ac:dyDescent="0.3">
      <c r="A1897" t="s">
        <v>329</v>
      </c>
      <c r="B1897" t="s">
        <v>330</v>
      </c>
      <c r="C1897" s="1">
        <v>23924</v>
      </c>
      <c r="D1897" t="s">
        <v>81</v>
      </c>
      <c r="E1897">
        <v>17.93</v>
      </c>
    </row>
    <row r="1898" spans="1:5" hidden="1" x14ac:dyDescent="0.3">
      <c r="A1898" t="s">
        <v>337</v>
      </c>
      <c r="B1898" t="s">
        <v>338</v>
      </c>
      <c r="C1898" s="1">
        <v>23924</v>
      </c>
      <c r="D1898" t="s">
        <v>81</v>
      </c>
      <c r="E1898">
        <v>4.4000000000000004</v>
      </c>
    </row>
    <row r="1899" spans="1:5" hidden="1" x14ac:dyDescent="0.3">
      <c r="A1899" t="s">
        <v>371</v>
      </c>
      <c r="B1899" t="s">
        <v>372</v>
      </c>
      <c r="C1899" s="1">
        <v>23924</v>
      </c>
      <c r="D1899" t="s">
        <v>81</v>
      </c>
      <c r="E1899">
        <v>-12.66</v>
      </c>
    </row>
    <row r="1900" spans="1:5" hidden="1" x14ac:dyDescent="0.3">
      <c r="A1900" t="s">
        <v>5</v>
      </c>
      <c r="B1900" t="s">
        <v>6</v>
      </c>
      <c r="C1900" s="1">
        <v>23833</v>
      </c>
      <c r="D1900" t="s">
        <v>80</v>
      </c>
      <c r="E1900">
        <v>5.66</v>
      </c>
    </row>
    <row r="1901" spans="1:5" hidden="1" x14ac:dyDescent="0.3">
      <c r="A1901" t="s">
        <v>325</v>
      </c>
      <c r="B1901" t="s">
        <v>326</v>
      </c>
      <c r="C1901" s="1">
        <v>23833</v>
      </c>
      <c r="D1901" t="s">
        <v>80</v>
      </c>
      <c r="E1901">
        <v>1.45</v>
      </c>
    </row>
    <row r="1902" spans="1:5" x14ac:dyDescent="0.3">
      <c r="A1902" t="s">
        <v>329</v>
      </c>
      <c r="B1902" t="s">
        <v>330</v>
      </c>
      <c r="C1902" s="1">
        <v>23833</v>
      </c>
      <c r="D1902" t="s">
        <v>80</v>
      </c>
      <c r="E1902">
        <v>16.91</v>
      </c>
    </row>
    <row r="1903" spans="1:5" hidden="1" x14ac:dyDescent="0.3">
      <c r="A1903" t="s">
        <v>337</v>
      </c>
      <c r="B1903" t="s">
        <v>338</v>
      </c>
      <c r="C1903" s="1">
        <v>23833</v>
      </c>
      <c r="D1903" t="s">
        <v>80</v>
      </c>
      <c r="E1903">
        <v>4.1399999999999997</v>
      </c>
    </row>
    <row r="1904" spans="1:5" hidden="1" x14ac:dyDescent="0.3">
      <c r="A1904" t="s">
        <v>371</v>
      </c>
      <c r="B1904" t="s">
        <v>372</v>
      </c>
      <c r="C1904" s="1">
        <v>23833</v>
      </c>
      <c r="D1904" t="s">
        <v>80</v>
      </c>
      <c r="E1904">
        <v>-10.25</v>
      </c>
    </row>
    <row r="1905" spans="1:5" hidden="1" x14ac:dyDescent="0.3">
      <c r="A1905" t="s">
        <v>5</v>
      </c>
      <c r="B1905" t="s">
        <v>6</v>
      </c>
      <c r="C1905" s="1">
        <v>23743</v>
      </c>
      <c r="D1905" t="s">
        <v>79</v>
      </c>
      <c r="E1905">
        <v>5.48</v>
      </c>
    </row>
    <row r="1906" spans="1:5" hidden="1" x14ac:dyDescent="0.3">
      <c r="A1906" t="s">
        <v>325</v>
      </c>
      <c r="B1906" t="s">
        <v>326</v>
      </c>
      <c r="C1906" s="1">
        <v>23743</v>
      </c>
      <c r="D1906" t="s">
        <v>79</v>
      </c>
      <c r="E1906">
        <v>1.24</v>
      </c>
    </row>
    <row r="1907" spans="1:5" x14ac:dyDescent="0.3">
      <c r="A1907" t="s">
        <v>329</v>
      </c>
      <c r="B1907" t="s">
        <v>330</v>
      </c>
      <c r="C1907" s="1">
        <v>23743</v>
      </c>
      <c r="D1907" t="s">
        <v>79</v>
      </c>
      <c r="E1907">
        <v>14.84</v>
      </c>
    </row>
    <row r="1908" spans="1:5" hidden="1" x14ac:dyDescent="0.3">
      <c r="A1908" t="s">
        <v>337</v>
      </c>
      <c r="B1908" t="s">
        <v>338</v>
      </c>
      <c r="C1908" s="1">
        <v>23743</v>
      </c>
      <c r="D1908" t="s">
        <v>79</v>
      </c>
      <c r="E1908">
        <v>3.61</v>
      </c>
    </row>
    <row r="1909" spans="1:5" hidden="1" x14ac:dyDescent="0.3">
      <c r="A1909" t="s">
        <v>371</v>
      </c>
      <c r="B1909" t="s">
        <v>372</v>
      </c>
      <c r="C1909" s="1">
        <v>23743</v>
      </c>
      <c r="D1909" t="s">
        <v>79</v>
      </c>
      <c r="E1909">
        <v>-10.37</v>
      </c>
    </row>
    <row r="1910" spans="1:5" hidden="1" x14ac:dyDescent="0.3">
      <c r="A1910" t="s">
        <v>5</v>
      </c>
      <c r="B1910" t="s">
        <v>6</v>
      </c>
      <c r="C1910" s="1">
        <v>23651</v>
      </c>
      <c r="D1910" t="s">
        <v>78</v>
      </c>
      <c r="E1910">
        <v>5.16</v>
      </c>
    </row>
    <row r="1911" spans="1:5" hidden="1" x14ac:dyDescent="0.3">
      <c r="A1911" t="s">
        <v>325</v>
      </c>
      <c r="B1911" t="s">
        <v>326</v>
      </c>
      <c r="C1911" s="1">
        <v>23651</v>
      </c>
      <c r="D1911" t="s">
        <v>78</v>
      </c>
      <c r="E1911">
        <v>1.35</v>
      </c>
    </row>
    <row r="1912" spans="1:5" x14ac:dyDescent="0.3">
      <c r="A1912" t="s">
        <v>329</v>
      </c>
      <c r="B1912" t="s">
        <v>330</v>
      </c>
      <c r="C1912" s="1">
        <v>23651</v>
      </c>
      <c r="D1912" t="s">
        <v>78</v>
      </c>
      <c r="E1912">
        <v>3.59</v>
      </c>
    </row>
    <row r="1913" spans="1:5" hidden="1" x14ac:dyDescent="0.3">
      <c r="A1913" t="s">
        <v>337</v>
      </c>
      <c r="B1913" t="s">
        <v>338</v>
      </c>
      <c r="C1913" s="1">
        <v>23651</v>
      </c>
      <c r="D1913" t="s">
        <v>78</v>
      </c>
      <c r="E1913">
        <v>3.22</v>
      </c>
    </row>
    <row r="1914" spans="1:5" hidden="1" x14ac:dyDescent="0.3">
      <c r="A1914" t="s">
        <v>371</v>
      </c>
      <c r="B1914" t="s">
        <v>372</v>
      </c>
      <c r="C1914" s="1">
        <v>23651</v>
      </c>
      <c r="D1914" t="s">
        <v>78</v>
      </c>
      <c r="E1914">
        <v>-10.78</v>
      </c>
    </row>
    <row r="1915" spans="1:5" hidden="1" x14ac:dyDescent="0.3">
      <c r="A1915" t="s">
        <v>5</v>
      </c>
      <c r="B1915" t="s">
        <v>6</v>
      </c>
      <c r="C1915" s="1">
        <v>23559</v>
      </c>
      <c r="D1915" t="s">
        <v>77</v>
      </c>
      <c r="E1915">
        <v>5.52</v>
      </c>
    </row>
    <row r="1916" spans="1:5" hidden="1" x14ac:dyDescent="0.3">
      <c r="A1916" t="s">
        <v>325</v>
      </c>
      <c r="B1916" t="s">
        <v>326</v>
      </c>
      <c r="C1916" s="1">
        <v>23559</v>
      </c>
      <c r="D1916" t="s">
        <v>77</v>
      </c>
      <c r="E1916">
        <v>1.36</v>
      </c>
    </row>
    <row r="1917" spans="1:5" x14ac:dyDescent="0.3">
      <c r="A1917" t="s">
        <v>329</v>
      </c>
      <c r="B1917" t="s">
        <v>330</v>
      </c>
      <c r="C1917" s="1">
        <v>23559</v>
      </c>
      <c r="D1917" t="s">
        <v>77</v>
      </c>
      <c r="E1917">
        <v>3.81</v>
      </c>
    </row>
    <row r="1918" spans="1:5" hidden="1" x14ac:dyDescent="0.3">
      <c r="A1918" t="s">
        <v>337</v>
      </c>
      <c r="B1918" t="s">
        <v>338</v>
      </c>
      <c r="C1918" s="1">
        <v>23559</v>
      </c>
      <c r="D1918" t="s">
        <v>77</v>
      </c>
      <c r="E1918">
        <v>3.02</v>
      </c>
    </row>
    <row r="1919" spans="1:5" hidden="1" x14ac:dyDescent="0.3">
      <c r="A1919" t="s">
        <v>371</v>
      </c>
      <c r="B1919" t="s">
        <v>372</v>
      </c>
      <c r="C1919" s="1">
        <v>23559</v>
      </c>
      <c r="D1919" t="s">
        <v>77</v>
      </c>
      <c r="E1919">
        <v>-9.09</v>
      </c>
    </row>
    <row r="1920" spans="1:5" hidden="1" x14ac:dyDescent="0.3">
      <c r="A1920" t="s">
        <v>5</v>
      </c>
      <c r="B1920" t="s">
        <v>6</v>
      </c>
      <c r="C1920" s="1">
        <v>23468</v>
      </c>
      <c r="D1920" t="s">
        <v>76</v>
      </c>
      <c r="E1920">
        <v>6.18</v>
      </c>
    </row>
    <row r="1921" spans="1:5" hidden="1" x14ac:dyDescent="0.3">
      <c r="A1921" t="s">
        <v>325</v>
      </c>
      <c r="B1921" t="s">
        <v>326</v>
      </c>
      <c r="C1921" s="1">
        <v>23468</v>
      </c>
      <c r="D1921" t="s">
        <v>76</v>
      </c>
      <c r="E1921">
        <v>1.58</v>
      </c>
    </row>
    <row r="1922" spans="1:5" x14ac:dyDescent="0.3">
      <c r="A1922" t="s">
        <v>329</v>
      </c>
      <c r="B1922" t="s">
        <v>330</v>
      </c>
      <c r="C1922" s="1">
        <v>23468</v>
      </c>
      <c r="D1922" t="s">
        <v>76</v>
      </c>
      <c r="E1922">
        <v>17.79</v>
      </c>
    </row>
    <row r="1923" spans="1:5" hidden="1" x14ac:dyDescent="0.3">
      <c r="A1923" t="s">
        <v>337</v>
      </c>
      <c r="B1923" t="s">
        <v>338</v>
      </c>
      <c r="C1923" s="1">
        <v>23468</v>
      </c>
      <c r="D1923" t="s">
        <v>76</v>
      </c>
      <c r="E1923">
        <v>2.58</v>
      </c>
    </row>
    <row r="1924" spans="1:5" hidden="1" x14ac:dyDescent="0.3">
      <c r="A1924" t="s">
        <v>371</v>
      </c>
      <c r="B1924" t="s">
        <v>372</v>
      </c>
      <c r="C1924" s="1">
        <v>23468</v>
      </c>
      <c r="D1924" t="s">
        <v>76</v>
      </c>
      <c r="E1924">
        <v>-9.3000000000000007</v>
      </c>
    </row>
    <row r="1925" spans="1:5" hidden="1" x14ac:dyDescent="0.3">
      <c r="A1925" t="s">
        <v>5</v>
      </c>
      <c r="B1925" t="s">
        <v>6</v>
      </c>
      <c r="C1925" s="1">
        <v>23377</v>
      </c>
      <c r="D1925" t="s">
        <v>75</v>
      </c>
      <c r="E1925">
        <v>6.22</v>
      </c>
    </row>
    <row r="1926" spans="1:5" hidden="1" x14ac:dyDescent="0.3">
      <c r="A1926" t="s">
        <v>325</v>
      </c>
      <c r="B1926" t="s">
        <v>326</v>
      </c>
      <c r="C1926" s="1">
        <v>23377</v>
      </c>
      <c r="D1926" t="s">
        <v>75</v>
      </c>
      <c r="E1926">
        <v>1.9</v>
      </c>
    </row>
    <row r="1927" spans="1:5" x14ac:dyDescent="0.3">
      <c r="A1927" t="s">
        <v>329</v>
      </c>
      <c r="B1927" t="s">
        <v>330</v>
      </c>
      <c r="C1927" s="1">
        <v>23377</v>
      </c>
      <c r="D1927" t="s">
        <v>75</v>
      </c>
      <c r="E1927">
        <v>16.72</v>
      </c>
    </row>
    <row r="1928" spans="1:5" hidden="1" x14ac:dyDescent="0.3">
      <c r="A1928" t="s">
        <v>337</v>
      </c>
      <c r="B1928" t="s">
        <v>338</v>
      </c>
      <c r="C1928" s="1">
        <v>23377</v>
      </c>
      <c r="D1928" t="s">
        <v>75</v>
      </c>
      <c r="E1928">
        <v>2.65</v>
      </c>
    </row>
    <row r="1929" spans="1:5" hidden="1" x14ac:dyDescent="0.3">
      <c r="A1929" t="s">
        <v>371</v>
      </c>
      <c r="B1929" t="s">
        <v>372</v>
      </c>
      <c r="C1929" s="1">
        <v>23377</v>
      </c>
      <c r="D1929" t="s">
        <v>75</v>
      </c>
      <c r="E1929">
        <v>-5.2</v>
      </c>
    </row>
    <row r="1930" spans="1:5" hidden="1" x14ac:dyDescent="0.3">
      <c r="A1930" t="s">
        <v>5</v>
      </c>
      <c r="B1930" t="s">
        <v>6</v>
      </c>
      <c r="C1930" s="1">
        <v>23285</v>
      </c>
      <c r="D1930" t="s">
        <v>74</v>
      </c>
      <c r="E1930">
        <v>5.16</v>
      </c>
    </row>
    <row r="1931" spans="1:5" hidden="1" x14ac:dyDescent="0.3">
      <c r="A1931" t="s">
        <v>325</v>
      </c>
      <c r="B1931" t="s">
        <v>326</v>
      </c>
      <c r="C1931" s="1">
        <v>23285</v>
      </c>
      <c r="D1931" t="s">
        <v>74</v>
      </c>
      <c r="E1931">
        <v>1.59</v>
      </c>
    </row>
    <row r="1932" spans="1:5" x14ac:dyDescent="0.3">
      <c r="A1932" t="s">
        <v>329</v>
      </c>
      <c r="B1932" t="s">
        <v>330</v>
      </c>
      <c r="C1932" s="1">
        <v>23285</v>
      </c>
      <c r="D1932" t="s">
        <v>74</v>
      </c>
      <c r="E1932">
        <v>18.13</v>
      </c>
    </row>
    <row r="1933" spans="1:5" hidden="1" x14ac:dyDescent="0.3">
      <c r="A1933" t="s">
        <v>337</v>
      </c>
      <c r="B1933" t="s">
        <v>338</v>
      </c>
      <c r="C1933" s="1">
        <v>23285</v>
      </c>
      <c r="D1933" t="s">
        <v>74</v>
      </c>
      <c r="E1933">
        <v>2.2400000000000002</v>
      </c>
    </row>
    <row r="1934" spans="1:5" hidden="1" x14ac:dyDescent="0.3">
      <c r="A1934" t="s">
        <v>371</v>
      </c>
      <c r="B1934" t="s">
        <v>372</v>
      </c>
      <c r="C1934" s="1">
        <v>23285</v>
      </c>
      <c r="D1934" t="s">
        <v>74</v>
      </c>
      <c r="E1934">
        <v>0.61</v>
      </c>
    </row>
    <row r="1935" spans="1:5" hidden="1" x14ac:dyDescent="0.3">
      <c r="A1935" t="s">
        <v>5</v>
      </c>
      <c r="B1935" t="s">
        <v>6</v>
      </c>
      <c r="C1935" s="1">
        <v>23193</v>
      </c>
      <c r="D1935" t="s">
        <v>73</v>
      </c>
      <c r="E1935">
        <v>4.82</v>
      </c>
    </row>
    <row r="1936" spans="1:5" hidden="1" x14ac:dyDescent="0.3">
      <c r="A1936" t="s">
        <v>325</v>
      </c>
      <c r="B1936" t="s">
        <v>326</v>
      </c>
      <c r="C1936" s="1">
        <v>23193</v>
      </c>
      <c r="D1936" t="s">
        <v>73</v>
      </c>
      <c r="E1936">
        <v>1.27</v>
      </c>
    </row>
    <row r="1937" spans="1:5" x14ac:dyDescent="0.3">
      <c r="A1937" t="s">
        <v>329</v>
      </c>
      <c r="B1937" t="s">
        <v>330</v>
      </c>
      <c r="C1937" s="1">
        <v>23193</v>
      </c>
      <c r="D1937" t="s">
        <v>73</v>
      </c>
      <c r="E1937">
        <v>16.97</v>
      </c>
    </row>
    <row r="1938" spans="1:5" hidden="1" x14ac:dyDescent="0.3">
      <c r="A1938" t="s">
        <v>337</v>
      </c>
      <c r="B1938" t="s">
        <v>338</v>
      </c>
      <c r="C1938" s="1">
        <v>23193</v>
      </c>
      <c r="D1938" t="s">
        <v>73</v>
      </c>
      <c r="E1938">
        <v>1.92</v>
      </c>
    </row>
    <row r="1939" spans="1:5" hidden="1" x14ac:dyDescent="0.3">
      <c r="A1939" t="s">
        <v>371</v>
      </c>
      <c r="B1939" t="s">
        <v>372</v>
      </c>
      <c r="C1939" s="1">
        <v>23193</v>
      </c>
      <c r="D1939" t="s">
        <v>73</v>
      </c>
      <c r="E1939">
        <v>-1.2</v>
      </c>
    </row>
    <row r="1940" spans="1:5" hidden="1" x14ac:dyDescent="0.3">
      <c r="A1940" t="s">
        <v>5</v>
      </c>
      <c r="B1940" t="s">
        <v>6</v>
      </c>
      <c r="C1940" s="1">
        <v>23102</v>
      </c>
      <c r="D1940" t="s">
        <v>72</v>
      </c>
      <c r="E1940">
        <v>3.82</v>
      </c>
    </row>
    <row r="1941" spans="1:5" hidden="1" x14ac:dyDescent="0.3">
      <c r="A1941" t="s">
        <v>325</v>
      </c>
      <c r="B1941" t="s">
        <v>326</v>
      </c>
      <c r="C1941" s="1">
        <v>23102</v>
      </c>
      <c r="D1941" t="s">
        <v>72</v>
      </c>
      <c r="E1941">
        <v>1.17</v>
      </c>
    </row>
    <row r="1942" spans="1:5" x14ac:dyDescent="0.3">
      <c r="A1942" t="s">
        <v>329</v>
      </c>
      <c r="B1942" t="s">
        <v>330</v>
      </c>
      <c r="C1942" s="1">
        <v>23102</v>
      </c>
      <c r="D1942" t="s">
        <v>72</v>
      </c>
      <c r="E1942">
        <v>13.66</v>
      </c>
    </row>
    <row r="1943" spans="1:5" hidden="1" x14ac:dyDescent="0.3">
      <c r="A1943" t="s">
        <v>337</v>
      </c>
      <c r="B1943" t="s">
        <v>338</v>
      </c>
      <c r="C1943" s="1">
        <v>23102</v>
      </c>
      <c r="D1943" t="s">
        <v>72</v>
      </c>
      <c r="E1943">
        <v>1.79</v>
      </c>
    </row>
    <row r="1944" spans="1:5" hidden="1" x14ac:dyDescent="0.3">
      <c r="A1944" t="s">
        <v>371</v>
      </c>
      <c r="B1944" t="s">
        <v>372</v>
      </c>
      <c r="C1944" s="1">
        <v>23102</v>
      </c>
      <c r="D1944" t="s">
        <v>72</v>
      </c>
      <c r="E1944">
        <v>3.61</v>
      </c>
    </row>
    <row r="1945" spans="1:5" hidden="1" x14ac:dyDescent="0.3">
      <c r="A1945" t="s">
        <v>5</v>
      </c>
      <c r="B1945" t="s">
        <v>6</v>
      </c>
      <c r="C1945" s="1">
        <v>23012</v>
      </c>
      <c r="D1945" t="s">
        <v>71</v>
      </c>
      <c r="E1945">
        <v>3.6</v>
      </c>
    </row>
    <row r="1946" spans="1:5" hidden="1" x14ac:dyDescent="0.3">
      <c r="A1946" t="s">
        <v>325</v>
      </c>
      <c r="B1946" t="s">
        <v>326</v>
      </c>
      <c r="C1946" s="1">
        <v>23012</v>
      </c>
      <c r="D1946" t="s">
        <v>71</v>
      </c>
      <c r="E1946">
        <v>1.18</v>
      </c>
    </row>
    <row r="1947" spans="1:5" x14ac:dyDescent="0.3">
      <c r="A1947" t="s">
        <v>329</v>
      </c>
      <c r="B1947" t="s">
        <v>330</v>
      </c>
      <c r="C1947" s="1">
        <v>23012</v>
      </c>
      <c r="D1947" t="s">
        <v>71</v>
      </c>
      <c r="E1947">
        <v>20.76</v>
      </c>
    </row>
    <row r="1948" spans="1:5" hidden="1" x14ac:dyDescent="0.3">
      <c r="A1948" t="s">
        <v>337</v>
      </c>
      <c r="B1948" t="s">
        <v>338</v>
      </c>
      <c r="C1948" s="1">
        <v>23012</v>
      </c>
      <c r="D1948" t="s">
        <v>71</v>
      </c>
      <c r="E1948">
        <v>2</v>
      </c>
    </row>
    <row r="1949" spans="1:5" hidden="1" x14ac:dyDescent="0.3">
      <c r="A1949" t="s">
        <v>371</v>
      </c>
      <c r="B1949" t="s">
        <v>372</v>
      </c>
      <c r="C1949" s="1">
        <v>23012</v>
      </c>
      <c r="D1949" t="s">
        <v>71</v>
      </c>
      <c r="E1949">
        <v>2.38</v>
      </c>
    </row>
    <row r="1950" spans="1:5" hidden="1" x14ac:dyDescent="0.3">
      <c r="A1950" t="s">
        <v>5</v>
      </c>
      <c r="B1950" t="s">
        <v>6</v>
      </c>
      <c r="C1950" s="1">
        <v>22920</v>
      </c>
      <c r="D1950" t="s">
        <v>70</v>
      </c>
      <c r="E1950">
        <v>4.3099999999999996</v>
      </c>
    </row>
    <row r="1951" spans="1:5" hidden="1" x14ac:dyDescent="0.3">
      <c r="A1951" t="s">
        <v>325</v>
      </c>
      <c r="B1951" t="s">
        <v>326</v>
      </c>
      <c r="C1951" s="1">
        <v>22920</v>
      </c>
      <c r="D1951" t="s">
        <v>70</v>
      </c>
      <c r="E1951">
        <v>1.17</v>
      </c>
    </row>
    <row r="1952" spans="1:5" x14ac:dyDescent="0.3">
      <c r="A1952" t="s">
        <v>329</v>
      </c>
      <c r="B1952" t="s">
        <v>330</v>
      </c>
      <c r="C1952" s="1">
        <v>22920</v>
      </c>
      <c r="D1952" t="s">
        <v>70</v>
      </c>
      <c r="E1952">
        <v>21.79</v>
      </c>
    </row>
    <row r="1953" spans="1:5" hidden="1" x14ac:dyDescent="0.3">
      <c r="A1953" t="s">
        <v>337</v>
      </c>
      <c r="B1953" t="s">
        <v>338</v>
      </c>
      <c r="C1953" s="1">
        <v>22920</v>
      </c>
      <c r="D1953" t="s">
        <v>70</v>
      </c>
      <c r="E1953">
        <v>2.4300000000000002</v>
      </c>
    </row>
    <row r="1954" spans="1:5" hidden="1" x14ac:dyDescent="0.3">
      <c r="A1954" t="s">
        <v>371</v>
      </c>
      <c r="B1954" t="s">
        <v>372</v>
      </c>
      <c r="C1954" s="1">
        <v>22920</v>
      </c>
      <c r="D1954" t="s">
        <v>70</v>
      </c>
      <c r="E1954">
        <v>-10.76</v>
      </c>
    </row>
    <row r="1955" spans="1:5" hidden="1" x14ac:dyDescent="0.3">
      <c r="A1955" t="s">
        <v>5</v>
      </c>
      <c r="B1955" t="s">
        <v>6</v>
      </c>
      <c r="C1955" s="1">
        <v>22828</v>
      </c>
      <c r="D1955" t="s">
        <v>69</v>
      </c>
      <c r="E1955">
        <v>6.01</v>
      </c>
    </row>
    <row r="1956" spans="1:5" hidden="1" x14ac:dyDescent="0.3">
      <c r="A1956" t="s">
        <v>325</v>
      </c>
      <c r="B1956" t="s">
        <v>326</v>
      </c>
      <c r="C1956" s="1">
        <v>22828</v>
      </c>
      <c r="D1956" t="s">
        <v>69</v>
      </c>
      <c r="E1956">
        <v>1.29</v>
      </c>
    </row>
    <row r="1957" spans="1:5" x14ac:dyDescent="0.3">
      <c r="A1957" t="s">
        <v>329</v>
      </c>
      <c r="B1957" t="s">
        <v>330</v>
      </c>
      <c r="C1957" s="1">
        <v>22828</v>
      </c>
      <c r="D1957" t="s">
        <v>69</v>
      </c>
      <c r="E1957">
        <v>69.16</v>
      </c>
    </row>
    <row r="1958" spans="1:5" hidden="1" x14ac:dyDescent="0.3">
      <c r="A1958" t="s">
        <v>337</v>
      </c>
      <c r="B1958" t="s">
        <v>338</v>
      </c>
      <c r="C1958" s="1">
        <v>22828</v>
      </c>
      <c r="D1958" t="s">
        <v>69</v>
      </c>
      <c r="E1958">
        <v>2.92</v>
      </c>
    </row>
    <row r="1959" spans="1:5" hidden="1" x14ac:dyDescent="0.3">
      <c r="A1959" t="s">
        <v>371</v>
      </c>
      <c r="B1959" t="s">
        <v>372</v>
      </c>
      <c r="C1959" s="1">
        <v>22828</v>
      </c>
      <c r="D1959" t="s">
        <v>69</v>
      </c>
      <c r="E1959">
        <v>-17.73</v>
      </c>
    </row>
    <row r="1960" spans="1:5" hidden="1" x14ac:dyDescent="0.3">
      <c r="A1960" t="s">
        <v>5</v>
      </c>
      <c r="B1960" t="s">
        <v>6</v>
      </c>
      <c r="C1960" s="1">
        <v>22737</v>
      </c>
      <c r="D1960" t="s">
        <v>68</v>
      </c>
      <c r="E1960">
        <v>6.73</v>
      </c>
    </row>
    <row r="1961" spans="1:5" hidden="1" x14ac:dyDescent="0.3">
      <c r="A1961" t="s">
        <v>325</v>
      </c>
      <c r="B1961" t="s">
        <v>326</v>
      </c>
      <c r="C1961" s="1">
        <v>22737</v>
      </c>
      <c r="D1961" t="s">
        <v>68</v>
      </c>
      <c r="E1961">
        <v>1.4</v>
      </c>
    </row>
    <row r="1962" spans="1:5" x14ac:dyDescent="0.3">
      <c r="A1962" t="s">
        <v>329</v>
      </c>
      <c r="B1962" t="s">
        <v>330</v>
      </c>
      <c r="C1962" s="1">
        <v>22737</v>
      </c>
      <c r="D1962" t="s">
        <v>68</v>
      </c>
      <c r="E1962">
        <v>50.43</v>
      </c>
    </row>
    <row r="1963" spans="1:5" hidden="1" x14ac:dyDescent="0.3">
      <c r="A1963" t="s">
        <v>337</v>
      </c>
      <c r="B1963" t="s">
        <v>338</v>
      </c>
      <c r="C1963" s="1">
        <v>22737</v>
      </c>
      <c r="D1963" t="s">
        <v>68</v>
      </c>
      <c r="E1963">
        <v>3.4</v>
      </c>
    </row>
    <row r="1964" spans="1:5" hidden="1" x14ac:dyDescent="0.3">
      <c r="A1964" t="s">
        <v>371</v>
      </c>
      <c r="B1964" t="s">
        <v>372</v>
      </c>
      <c r="C1964" s="1">
        <v>22737</v>
      </c>
      <c r="D1964" t="s">
        <v>68</v>
      </c>
      <c r="E1964">
        <v>-20.96</v>
      </c>
    </row>
    <row r="1965" spans="1:5" hidden="1" x14ac:dyDescent="0.3">
      <c r="A1965" t="s">
        <v>5</v>
      </c>
      <c r="B1965" t="s">
        <v>6</v>
      </c>
      <c r="C1965" s="1">
        <v>22647</v>
      </c>
      <c r="D1965" t="s">
        <v>67</v>
      </c>
      <c r="E1965">
        <v>7.57</v>
      </c>
    </row>
    <row r="1966" spans="1:5" hidden="1" x14ac:dyDescent="0.3">
      <c r="A1966" t="s">
        <v>325</v>
      </c>
      <c r="B1966" t="s">
        <v>326</v>
      </c>
      <c r="C1966" s="1">
        <v>22647</v>
      </c>
      <c r="D1966" t="s">
        <v>67</v>
      </c>
      <c r="E1966">
        <v>1.3</v>
      </c>
    </row>
    <row r="1967" spans="1:5" x14ac:dyDescent="0.3">
      <c r="A1967" t="s">
        <v>329</v>
      </c>
      <c r="B1967" t="s">
        <v>330</v>
      </c>
      <c r="C1967" s="1">
        <v>22647</v>
      </c>
      <c r="D1967" t="s">
        <v>67</v>
      </c>
      <c r="E1967">
        <v>22.67</v>
      </c>
    </row>
    <row r="1968" spans="1:5" hidden="1" x14ac:dyDescent="0.3">
      <c r="A1968" t="s">
        <v>337</v>
      </c>
      <c r="B1968" t="s">
        <v>338</v>
      </c>
      <c r="C1968" s="1">
        <v>22647</v>
      </c>
      <c r="D1968" t="s">
        <v>67</v>
      </c>
      <c r="E1968">
        <v>2.77</v>
      </c>
    </row>
    <row r="1969" spans="1:5" hidden="1" x14ac:dyDescent="0.3">
      <c r="A1969" t="s">
        <v>371</v>
      </c>
      <c r="B1969" t="s">
        <v>372</v>
      </c>
      <c r="C1969" s="1">
        <v>22647</v>
      </c>
      <c r="D1969" t="s">
        <v>67</v>
      </c>
      <c r="E1969">
        <v>-17.16</v>
      </c>
    </row>
    <row r="1970" spans="1:5" hidden="1" x14ac:dyDescent="0.3">
      <c r="A1970" t="s">
        <v>5</v>
      </c>
      <c r="B1970" t="s">
        <v>6</v>
      </c>
      <c r="C1970" s="1">
        <v>22555</v>
      </c>
      <c r="D1970" t="s">
        <v>66</v>
      </c>
      <c r="E1970">
        <v>6.4</v>
      </c>
    </row>
    <row r="1971" spans="1:5" hidden="1" x14ac:dyDescent="0.3">
      <c r="A1971" t="s">
        <v>325</v>
      </c>
      <c r="B1971" t="s">
        <v>326</v>
      </c>
      <c r="C1971" s="1">
        <v>22555</v>
      </c>
      <c r="D1971" t="s">
        <v>66</v>
      </c>
      <c r="E1971">
        <v>1.3</v>
      </c>
    </row>
    <row r="1972" spans="1:5" x14ac:dyDescent="0.3">
      <c r="A1972" t="s">
        <v>329</v>
      </c>
      <c r="B1972" t="s">
        <v>330</v>
      </c>
      <c r="C1972" s="1">
        <v>22555</v>
      </c>
      <c r="D1972" t="s">
        <v>66</v>
      </c>
      <c r="E1972">
        <v>4.4800000000000004</v>
      </c>
    </row>
    <row r="1973" spans="1:5" hidden="1" x14ac:dyDescent="0.3">
      <c r="A1973" t="s">
        <v>337</v>
      </c>
      <c r="B1973" t="s">
        <v>338</v>
      </c>
      <c r="C1973" s="1">
        <v>22555</v>
      </c>
      <c r="D1973" t="s">
        <v>66</v>
      </c>
      <c r="E1973">
        <v>1.42</v>
      </c>
    </row>
    <row r="1974" spans="1:5" hidden="1" x14ac:dyDescent="0.3">
      <c r="A1974" t="s">
        <v>371</v>
      </c>
      <c r="B1974" t="s">
        <v>372</v>
      </c>
      <c r="C1974" s="1">
        <v>22555</v>
      </c>
      <c r="D1974" t="s">
        <v>66</v>
      </c>
      <c r="E1974">
        <v>-1.07</v>
      </c>
    </row>
    <row r="1975" spans="1:5" hidden="1" x14ac:dyDescent="0.3">
      <c r="A1975" t="s">
        <v>5</v>
      </c>
      <c r="B1975" t="s">
        <v>6</v>
      </c>
      <c r="C1975" s="1">
        <v>22463</v>
      </c>
      <c r="D1975" t="s">
        <v>65</v>
      </c>
      <c r="E1975">
        <v>3.01</v>
      </c>
    </row>
    <row r="1976" spans="1:5" hidden="1" x14ac:dyDescent="0.3">
      <c r="A1976" t="s">
        <v>325</v>
      </c>
      <c r="B1976" t="s">
        <v>326</v>
      </c>
      <c r="C1976" s="1">
        <v>22463</v>
      </c>
      <c r="D1976" t="s">
        <v>65</v>
      </c>
      <c r="E1976">
        <v>1.53</v>
      </c>
    </row>
    <row r="1977" spans="1:5" x14ac:dyDescent="0.3">
      <c r="A1977" t="s">
        <v>329</v>
      </c>
      <c r="B1977" t="s">
        <v>330</v>
      </c>
      <c r="C1977" s="1">
        <v>22463</v>
      </c>
      <c r="D1977" t="s">
        <v>65</v>
      </c>
      <c r="E1977">
        <v>-42.7</v>
      </c>
    </row>
    <row r="1978" spans="1:5" hidden="1" x14ac:dyDescent="0.3">
      <c r="A1978" t="s">
        <v>337</v>
      </c>
      <c r="B1978" t="s">
        <v>338</v>
      </c>
      <c r="C1978" s="1">
        <v>22463</v>
      </c>
      <c r="D1978" t="s">
        <v>65</v>
      </c>
      <c r="E1978">
        <v>0</v>
      </c>
    </row>
    <row r="1979" spans="1:5" hidden="1" x14ac:dyDescent="0.3">
      <c r="A1979" t="s">
        <v>371</v>
      </c>
      <c r="B1979" t="s">
        <v>372</v>
      </c>
      <c r="C1979" s="1">
        <v>22463</v>
      </c>
      <c r="D1979" t="s">
        <v>65</v>
      </c>
      <c r="E1979">
        <v>22.3</v>
      </c>
    </row>
    <row r="1980" spans="1:5" hidden="1" x14ac:dyDescent="0.3">
      <c r="A1980" t="s">
        <v>5</v>
      </c>
      <c r="B1980" t="s">
        <v>6</v>
      </c>
      <c r="C1980" s="1">
        <v>22372</v>
      </c>
      <c r="D1980" t="s">
        <v>64</v>
      </c>
      <c r="E1980">
        <v>1.57</v>
      </c>
    </row>
    <row r="1981" spans="1:5" hidden="1" x14ac:dyDescent="0.3">
      <c r="A1981" t="s">
        <v>325</v>
      </c>
      <c r="B1981" t="s">
        <v>326</v>
      </c>
      <c r="C1981" s="1">
        <v>22372</v>
      </c>
      <c r="D1981" t="s">
        <v>64</v>
      </c>
      <c r="E1981">
        <v>0.98</v>
      </c>
    </row>
    <row r="1982" spans="1:5" x14ac:dyDescent="0.3">
      <c r="A1982" t="s">
        <v>329</v>
      </c>
      <c r="B1982" t="s">
        <v>330</v>
      </c>
      <c r="C1982" s="1">
        <v>22372</v>
      </c>
      <c r="D1982" t="s">
        <v>64</v>
      </c>
      <c r="E1982">
        <v>-53.12</v>
      </c>
    </row>
    <row r="1983" spans="1:5" hidden="1" x14ac:dyDescent="0.3">
      <c r="A1983" t="s">
        <v>337</v>
      </c>
      <c r="B1983" t="s">
        <v>338</v>
      </c>
      <c r="C1983" s="1">
        <v>22372</v>
      </c>
      <c r="D1983" t="s">
        <v>64</v>
      </c>
      <c r="E1983">
        <v>-1.37</v>
      </c>
    </row>
    <row r="1984" spans="1:5" hidden="1" x14ac:dyDescent="0.3">
      <c r="A1984" t="s">
        <v>371</v>
      </c>
      <c r="B1984" t="s">
        <v>372</v>
      </c>
      <c r="C1984" s="1">
        <v>22372</v>
      </c>
      <c r="D1984" t="s">
        <v>64</v>
      </c>
      <c r="E1984">
        <v>33.770000000000003</v>
      </c>
    </row>
    <row r="1985" spans="1:5" hidden="1" x14ac:dyDescent="0.3">
      <c r="A1985" t="s">
        <v>5</v>
      </c>
      <c r="B1985" t="s">
        <v>6</v>
      </c>
      <c r="C1985" s="1">
        <v>22282</v>
      </c>
      <c r="D1985" t="s">
        <v>63</v>
      </c>
      <c r="E1985">
        <v>-0.67</v>
      </c>
    </row>
    <row r="1986" spans="1:5" hidden="1" x14ac:dyDescent="0.3">
      <c r="A1986" t="s">
        <v>325</v>
      </c>
      <c r="B1986" t="s">
        <v>326</v>
      </c>
      <c r="C1986" s="1">
        <v>22282</v>
      </c>
      <c r="D1986" t="s">
        <v>63</v>
      </c>
      <c r="E1986">
        <v>0.87</v>
      </c>
    </row>
    <row r="1987" spans="1:5" x14ac:dyDescent="0.3">
      <c r="A1987" t="s">
        <v>329</v>
      </c>
      <c r="B1987" t="s">
        <v>330</v>
      </c>
      <c r="C1987" s="1">
        <v>22282</v>
      </c>
      <c r="D1987" t="s">
        <v>63</v>
      </c>
      <c r="E1987">
        <v>-49.07</v>
      </c>
    </row>
    <row r="1988" spans="1:5" hidden="1" x14ac:dyDescent="0.3">
      <c r="A1988" t="s">
        <v>337</v>
      </c>
      <c r="B1988" t="s">
        <v>338</v>
      </c>
      <c r="C1988" s="1">
        <v>22282</v>
      </c>
      <c r="D1988" t="s">
        <v>63</v>
      </c>
      <c r="E1988">
        <v>-1.43</v>
      </c>
    </row>
    <row r="1989" spans="1:5" hidden="1" x14ac:dyDescent="0.3">
      <c r="A1989" t="s">
        <v>371</v>
      </c>
      <c r="B1989" t="s">
        <v>372</v>
      </c>
      <c r="C1989" s="1">
        <v>22282</v>
      </c>
      <c r="D1989" t="s">
        <v>63</v>
      </c>
      <c r="E1989">
        <v>32.479999999999997</v>
      </c>
    </row>
    <row r="1990" spans="1:5" hidden="1" x14ac:dyDescent="0.3">
      <c r="A1990" t="s">
        <v>5</v>
      </c>
      <c r="B1990" t="s">
        <v>6</v>
      </c>
      <c r="C1990" s="1">
        <v>22190</v>
      </c>
      <c r="D1990" t="s">
        <v>62</v>
      </c>
      <c r="E1990">
        <v>0.89</v>
      </c>
    </row>
    <row r="1991" spans="1:5" hidden="1" x14ac:dyDescent="0.3">
      <c r="A1991" t="s">
        <v>325</v>
      </c>
      <c r="B1991" t="s">
        <v>326</v>
      </c>
      <c r="C1991" s="1">
        <v>22190</v>
      </c>
      <c r="D1991" t="s">
        <v>62</v>
      </c>
      <c r="E1991">
        <v>1.1000000000000001</v>
      </c>
    </row>
    <row r="1992" spans="1:5" x14ac:dyDescent="0.3">
      <c r="A1992" t="s">
        <v>329</v>
      </c>
      <c r="B1992" t="s">
        <v>330</v>
      </c>
      <c r="C1992" s="1">
        <v>22190</v>
      </c>
      <c r="D1992" t="s">
        <v>62</v>
      </c>
      <c r="E1992">
        <v>-42.43</v>
      </c>
    </row>
    <row r="1993" spans="1:5" hidden="1" x14ac:dyDescent="0.3">
      <c r="A1993" t="s">
        <v>337</v>
      </c>
      <c r="B1993" t="s">
        <v>338</v>
      </c>
      <c r="C1993" s="1">
        <v>22190</v>
      </c>
      <c r="D1993" t="s">
        <v>62</v>
      </c>
      <c r="E1993">
        <v>0.42</v>
      </c>
    </row>
    <row r="1994" spans="1:5" hidden="1" x14ac:dyDescent="0.3">
      <c r="A1994" t="s">
        <v>371</v>
      </c>
      <c r="B1994" t="s">
        <v>372</v>
      </c>
      <c r="C1994" s="1">
        <v>22190</v>
      </c>
      <c r="D1994" t="s">
        <v>62</v>
      </c>
      <c r="E1994">
        <v>11.91</v>
      </c>
    </row>
    <row r="1995" spans="1:5" hidden="1" x14ac:dyDescent="0.3">
      <c r="A1995" t="s">
        <v>5</v>
      </c>
      <c r="B1995" t="s">
        <v>6</v>
      </c>
      <c r="C1995" s="1">
        <v>22098</v>
      </c>
      <c r="D1995" t="s">
        <v>61</v>
      </c>
      <c r="E1995">
        <v>2.4900000000000002</v>
      </c>
    </row>
    <row r="1996" spans="1:5" hidden="1" x14ac:dyDescent="0.3">
      <c r="A1996" t="s">
        <v>325</v>
      </c>
      <c r="B1996" t="s">
        <v>326</v>
      </c>
      <c r="C1996" s="1">
        <v>22098</v>
      </c>
      <c r="D1996" t="s">
        <v>61</v>
      </c>
      <c r="E1996">
        <v>1.21</v>
      </c>
    </row>
    <row r="1997" spans="1:5" x14ac:dyDescent="0.3">
      <c r="A1997" t="s">
        <v>329</v>
      </c>
      <c r="B1997" t="s">
        <v>330</v>
      </c>
      <c r="C1997" s="1">
        <v>22098</v>
      </c>
      <c r="D1997" t="s">
        <v>61</v>
      </c>
      <c r="E1997">
        <v>-17.89</v>
      </c>
    </row>
    <row r="1998" spans="1:5" hidden="1" x14ac:dyDescent="0.3">
      <c r="A1998" t="s">
        <v>337</v>
      </c>
      <c r="B1998" t="s">
        <v>338</v>
      </c>
      <c r="C1998" s="1">
        <v>22098</v>
      </c>
      <c r="D1998" t="s">
        <v>61</v>
      </c>
      <c r="E1998">
        <v>1.39</v>
      </c>
    </row>
    <row r="1999" spans="1:5" hidden="1" x14ac:dyDescent="0.3">
      <c r="A1999" t="s">
        <v>371</v>
      </c>
      <c r="B1999" t="s">
        <v>372</v>
      </c>
      <c r="C1999" s="1">
        <v>22098</v>
      </c>
      <c r="D1999" t="s">
        <v>61</v>
      </c>
      <c r="E1999">
        <v>5.05</v>
      </c>
    </row>
    <row r="2000" spans="1:5" hidden="1" x14ac:dyDescent="0.3">
      <c r="A2000" t="s">
        <v>5</v>
      </c>
      <c r="B2000" t="s">
        <v>6</v>
      </c>
      <c r="C2000" s="1">
        <v>22007</v>
      </c>
      <c r="D2000" t="s">
        <v>60</v>
      </c>
      <c r="E2000">
        <v>2.06</v>
      </c>
    </row>
    <row r="2001" spans="1:5" hidden="1" x14ac:dyDescent="0.3">
      <c r="A2001" t="s">
        <v>325</v>
      </c>
      <c r="B2001" t="s">
        <v>326</v>
      </c>
      <c r="C2001" s="1">
        <v>22007</v>
      </c>
      <c r="D2001" t="s">
        <v>60</v>
      </c>
      <c r="E2001">
        <v>1.77</v>
      </c>
    </row>
    <row r="2002" spans="1:5" x14ac:dyDescent="0.3">
      <c r="A2002" t="s">
        <v>329</v>
      </c>
      <c r="B2002" t="s">
        <v>330</v>
      </c>
      <c r="C2002" s="1">
        <v>22007</v>
      </c>
      <c r="D2002" t="s">
        <v>60</v>
      </c>
      <c r="E2002">
        <v>19.920000000000002</v>
      </c>
    </row>
    <row r="2003" spans="1:5" hidden="1" x14ac:dyDescent="0.3">
      <c r="A2003" t="s">
        <v>337</v>
      </c>
      <c r="B2003" t="s">
        <v>338</v>
      </c>
      <c r="C2003" s="1">
        <v>22007</v>
      </c>
      <c r="D2003" t="s">
        <v>60</v>
      </c>
      <c r="E2003">
        <v>1.92</v>
      </c>
    </row>
    <row r="2004" spans="1:5" hidden="1" x14ac:dyDescent="0.3">
      <c r="A2004" t="s">
        <v>371</v>
      </c>
      <c r="B2004" t="s">
        <v>372</v>
      </c>
      <c r="C2004" s="1">
        <v>22007</v>
      </c>
      <c r="D2004" t="s">
        <v>60</v>
      </c>
      <c r="E2004">
        <v>2.61</v>
      </c>
    </row>
    <row r="2005" spans="1:5" hidden="1" x14ac:dyDescent="0.3">
      <c r="A2005" t="s">
        <v>5</v>
      </c>
      <c r="B2005" t="s">
        <v>6</v>
      </c>
      <c r="C2005" s="1">
        <v>21916</v>
      </c>
      <c r="D2005" t="s">
        <v>59</v>
      </c>
      <c r="E2005">
        <v>4.92</v>
      </c>
    </row>
    <row r="2006" spans="1:5" hidden="1" x14ac:dyDescent="0.3">
      <c r="A2006" t="s">
        <v>325</v>
      </c>
      <c r="B2006" t="s">
        <v>326</v>
      </c>
      <c r="C2006" s="1">
        <v>21916</v>
      </c>
      <c r="D2006" t="s">
        <v>59</v>
      </c>
      <c r="E2006">
        <v>2.12</v>
      </c>
    </row>
    <row r="2007" spans="1:5" x14ac:dyDescent="0.3">
      <c r="A2007" t="s">
        <v>329</v>
      </c>
      <c r="B2007" t="s">
        <v>330</v>
      </c>
      <c r="C2007" s="1">
        <v>21916</v>
      </c>
      <c r="D2007" t="s">
        <v>59</v>
      </c>
      <c r="E2007">
        <v>53.04</v>
      </c>
    </row>
    <row r="2008" spans="1:5" hidden="1" x14ac:dyDescent="0.3">
      <c r="A2008" t="s">
        <v>337</v>
      </c>
      <c r="B2008" t="s">
        <v>338</v>
      </c>
      <c r="C2008" s="1">
        <v>21916</v>
      </c>
      <c r="D2008" t="s">
        <v>59</v>
      </c>
      <c r="E2008">
        <v>3.2</v>
      </c>
    </row>
    <row r="2009" spans="1:5" hidden="1" x14ac:dyDescent="0.3">
      <c r="A2009" t="s">
        <v>371</v>
      </c>
      <c r="B2009" t="s">
        <v>372</v>
      </c>
      <c r="C2009" s="1">
        <v>21916</v>
      </c>
      <c r="D2009" t="s">
        <v>59</v>
      </c>
      <c r="E2009">
        <v>-12</v>
      </c>
    </row>
    <row r="2010" spans="1:5" hidden="1" x14ac:dyDescent="0.3">
      <c r="A2010" t="s">
        <v>5</v>
      </c>
      <c r="B2010" t="s">
        <v>6</v>
      </c>
      <c r="C2010" s="1">
        <v>21824</v>
      </c>
      <c r="D2010" t="s">
        <v>58</v>
      </c>
      <c r="E2010">
        <v>4.58</v>
      </c>
    </row>
    <row r="2011" spans="1:5" hidden="1" x14ac:dyDescent="0.3">
      <c r="A2011" t="s">
        <v>325</v>
      </c>
      <c r="B2011" t="s">
        <v>326</v>
      </c>
      <c r="C2011" s="1">
        <v>21824</v>
      </c>
      <c r="D2011" t="s">
        <v>58</v>
      </c>
      <c r="E2011">
        <v>2.12</v>
      </c>
    </row>
    <row r="2012" spans="1:5" x14ac:dyDescent="0.3">
      <c r="A2012" t="s">
        <v>329</v>
      </c>
      <c r="B2012" t="s">
        <v>330</v>
      </c>
      <c r="C2012" s="1">
        <v>21824</v>
      </c>
      <c r="D2012" t="s">
        <v>58</v>
      </c>
      <c r="E2012">
        <v>84.47</v>
      </c>
    </row>
    <row r="2013" spans="1:5" hidden="1" x14ac:dyDescent="0.3">
      <c r="A2013" t="s">
        <v>337</v>
      </c>
      <c r="B2013" t="s">
        <v>338</v>
      </c>
      <c r="C2013" s="1">
        <v>21824</v>
      </c>
      <c r="D2013" t="s">
        <v>58</v>
      </c>
      <c r="E2013">
        <v>3.63</v>
      </c>
    </row>
    <row r="2014" spans="1:5" hidden="1" x14ac:dyDescent="0.3">
      <c r="A2014" t="s">
        <v>371</v>
      </c>
      <c r="B2014" t="s">
        <v>372</v>
      </c>
      <c r="C2014" s="1">
        <v>21824</v>
      </c>
      <c r="D2014" t="s">
        <v>58</v>
      </c>
      <c r="E2014">
        <v>-12.05</v>
      </c>
    </row>
    <row r="2015" spans="1:5" hidden="1" x14ac:dyDescent="0.3">
      <c r="A2015" t="s">
        <v>5</v>
      </c>
      <c r="B2015" t="s">
        <v>6</v>
      </c>
      <c r="C2015" s="1">
        <v>21732</v>
      </c>
      <c r="D2015" t="s">
        <v>57</v>
      </c>
      <c r="E2015">
        <v>6.73</v>
      </c>
    </row>
    <row r="2016" spans="1:5" hidden="1" x14ac:dyDescent="0.3">
      <c r="A2016" t="s">
        <v>325</v>
      </c>
      <c r="B2016" t="s">
        <v>326</v>
      </c>
      <c r="C2016" s="1">
        <v>21732</v>
      </c>
      <c r="D2016" t="s">
        <v>57</v>
      </c>
      <c r="E2016">
        <v>2.02</v>
      </c>
    </row>
    <row r="2017" spans="1:5" x14ac:dyDescent="0.3">
      <c r="A2017" t="s">
        <v>329</v>
      </c>
      <c r="B2017" t="s">
        <v>330</v>
      </c>
      <c r="C2017" s="1">
        <v>21732</v>
      </c>
      <c r="D2017" t="s">
        <v>57</v>
      </c>
      <c r="E2017">
        <v>170.37</v>
      </c>
    </row>
    <row r="2018" spans="1:5" hidden="1" x14ac:dyDescent="0.3">
      <c r="A2018" t="s">
        <v>337</v>
      </c>
      <c r="B2018" t="s">
        <v>338</v>
      </c>
      <c r="C2018" s="1">
        <v>21732</v>
      </c>
      <c r="D2018" t="s">
        <v>57</v>
      </c>
      <c r="E2018">
        <v>4.42</v>
      </c>
    </row>
    <row r="2019" spans="1:5" hidden="1" x14ac:dyDescent="0.3">
      <c r="A2019" t="s">
        <v>371</v>
      </c>
      <c r="B2019" t="s">
        <v>372</v>
      </c>
      <c r="C2019" s="1">
        <v>21732</v>
      </c>
      <c r="D2019" t="s">
        <v>57</v>
      </c>
      <c r="E2019">
        <v>-28.17</v>
      </c>
    </row>
    <row r="2020" spans="1:5" hidden="1" x14ac:dyDescent="0.3">
      <c r="A2020" t="s">
        <v>5</v>
      </c>
      <c r="B2020" t="s">
        <v>6</v>
      </c>
      <c r="C2020" s="1">
        <v>21641</v>
      </c>
      <c r="D2020" t="s">
        <v>56</v>
      </c>
      <c r="E2020">
        <v>9.1199999999999992</v>
      </c>
    </row>
    <row r="2021" spans="1:5" hidden="1" x14ac:dyDescent="0.3">
      <c r="A2021" t="s">
        <v>325</v>
      </c>
      <c r="B2021" t="s">
        <v>326</v>
      </c>
      <c r="C2021" s="1">
        <v>21641</v>
      </c>
      <c r="D2021" t="s">
        <v>56</v>
      </c>
      <c r="E2021">
        <v>1.92</v>
      </c>
    </row>
    <row r="2022" spans="1:5" x14ac:dyDescent="0.3">
      <c r="A2022" t="s">
        <v>329</v>
      </c>
      <c r="B2022" t="s">
        <v>330</v>
      </c>
      <c r="C2022" s="1">
        <v>21641</v>
      </c>
      <c r="D2022" t="s">
        <v>56</v>
      </c>
      <c r="E2022">
        <v>227.98</v>
      </c>
    </row>
    <row r="2023" spans="1:5" hidden="1" x14ac:dyDescent="0.3">
      <c r="A2023" t="s">
        <v>337</v>
      </c>
      <c r="B2023" t="s">
        <v>338</v>
      </c>
      <c r="C2023" s="1">
        <v>21641</v>
      </c>
      <c r="D2023" t="s">
        <v>56</v>
      </c>
      <c r="E2023">
        <v>5.04</v>
      </c>
    </row>
    <row r="2024" spans="1:5" hidden="1" x14ac:dyDescent="0.3">
      <c r="A2024" t="s">
        <v>371</v>
      </c>
      <c r="B2024" t="s">
        <v>372</v>
      </c>
      <c r="C2024" s="1">
        <v>21641</v>
      </c>
      <c r="D2024" t="s">
        <v>56</v>
      </c>
      <c r="E2024">
        <v>-30.77</v>
      </c>
    </row>
    <row r="2025" spans="1:5" hidden="1" x14ac:dyDescent="0.3">
      <c r="A2025" t="s">
        <v>5</v>
      </c>
      <c r="B2025" t="s">
        <v>6</v>
      </c>
      <c r="C2025" s="1">
        <v>21551</v>
      </c>
      <c r="D2025" t="s">
        <v>55</v>
      </c>
      <c r="E2025">
        <v>7.42</v>
      </c>
    </row>
    <row r="2026" spans="1:5" hidden="1" x14ac:dyDescent="0.3">
      <c r="A2026" t="s">
        <v>325</v>
      </c>
      <c r="B2026" t="s">
        <v>326</v>
      </c>
      <c r="C2026" s="1">
        <v>21551</v>
      </c>
      <c r="D2026" t="s">
        <v>55</v>
      </c>
      <c r="E2026">
        <v>1.81</v>
      </c>
    </row>
    <row r="2027" spans="1:5" x14ac:dyDescent="0.3">
      <c r="A2027" t="s">
        <v>329</v>
      </c>
      <c r="B2027" t="s">
        <v>330</v>
      </c>
      <c r="C2027" s="1">
        <v>21551</v>
      </c>
      <c r="D2027" t="s">
        <v>55</v>
      </c>
      <c r="E2027">
        <v>37.950000000000003</v>
      </c>
    </row>
    <row r="2028" spans="1:5" hidden="1" x14ac:dyDescent="0.3">
      <c r="A2028" t="s">
        <v>337</v>
      </c>
      <c r="B2028" t="s">
        <v>338</v>
      </c>
      <c r="C2028" s="1">
        <v>21551</v>
      </c>
      <c r="D2028" t="s">
        <v>55</v>
      </c>
      <c r="E2028">
        <v>2.08</v>
      </c>
    </row>
    <row r="2029" spans="1:5" hidden="1" x14ac:dyDescent="0.3">
      <c r="A2029" t="s">
        <v>371</v>
      </c>
      <c r="B2029" t="s">
        <v>372</v>
      </c>
      <c r="C2029" s="1">
        <v>21551</v>
      </c>
      <c r="D2029" t="s">
        <v>55</v>
      </c>
      <c r="E2029">
        <v>-7.41</v>
      </c>
    </row>
    <row r="2030" spans="1:5" hidden="1" x14ac:dyDescent="0.3">
      <c r="A2030" t="s">
        <v>5</v>
      </c>
      <c r="B2030" t="s">
        <v>6</v>
      </c>
      <c r="C2030" s="1">
        <v>21459</v>
      </c>
      <c r="D2030" t="s">
        <v>54</v>
      </c>
      <c r="E2030">
        <v>2.66</v>
      </c>
    </row>
    <row r="2031" spans="1:5" hidden="1" x14ac:dyDescent="0.3">
      <c r="A2031" t="s">
        <v>325</v>
      </c>
      <c r="B2031" t="s">
        <v>326</v>
      </c>
      <c r="C2031" s="1">
        <v>21459</v>
      </c>
      <c r="D2031" t="s">
        <v>54</v>
      </c>
      <c r="E2031">
        <v>1.82</v>
      </c>
    </row>
    <row r="2032" spans="1:5" x14ac:dyDescent="0.3">
      <c r="A2032" t="s">
        <v>329</v>
      </c>
      <c r="B2032" t="s">
        <v>330</v>
      </c>
      <c r="C2032" s="1">
        <v>21459</v>
      </c>
      <c r="D2032" t="s">
        <v>54</v>
      </c>
      <c r="E2032">
        <v>-33.51</v>
      </c>
    </row>
    <row r="2033" spans="1:5" hidden="1" x14ac:dyDescent="0.3">
      <c r="A2033" t="s">
        <v>337</v>
      </c>
      <c r="B2033" t="s">
        <v>338</v>
      </c>
      <c r="C2033" s="1">
        <v>21459</v>
      </c>
      <c r="D2033" t="s">
        <v>54</v>
      </c>
      <c r="E2033">
        <v>-1.39</v>
      </c>
    </row>
    <row r="2034" spans="1:5" hidden="1" x14ac:dyDescent="0.3">
      <c r="A2034" t="s">
        <v>371</v>
      </c>
      <c r="B2034" t="s">
        <v>372</v>
      </c>
      <c r="C2034" s="1">
        <v>21459</v>
      </c>
      <c r="D2034" t="s">
        <v>54</v>
      </c>
      <c r="E2034">
        <v>29.07</v>
      </c>
    </row>
    <row r="2035" spans="1:5" hidden="1" x14ac:dyDescent="0.3">
      <c r="A2035" t="s">
        <v>5</v>
      </c>
      <c r="B2035" t="s">
        <v>6</v>
      </c>
      <c r="C2035" s="1">
        <v>21367</v>
      </c>
      <c r="D2035" t="s">
        <v>53</v>
      </c>
      <c r="E2035">
        <v>-0.73</v>
      </c>
    </row>
    <row r="2036" spans="1:5" hidden="1" x14ac:dyDescent="0.3">
      <c r="A2036" t="s">
        <v>325</v>
      </c>
      <c r="B2036" t="s">
        <v>326</v>
      </c>
      <c r="C2036" s="1">
        <v>21367</v>
      </c>
      <c r="D2036" t="s">
        <v>53</v>
      </c>
      <c r="E2036">
        <v>2.0699999999999998</v>
      </c>
    </row>
    <row r="2037" spans="1:5" x14ac:dyDescent="0.3">
      <c r="A2037" t="s">
        <v>329</v>
      </c>
      <c r="B2037" t="s">
        <v>330</v>
      </c>
      <c r="C2037" s="1">
        <v>21367</v>
      </c>
      <c r="D2037" t="s">
        <v>53</v>
      </c>
      <c r="E2037">
        <v>-59.08</v>
      </c>
    </row>
    <row r="2038" spans="1:5" hidden="1" x14ac:dyDescent="0.3">
      <c r="A2038" t="s">
        <v>337</v>
      </c>
      <c r="B2038" t="s">
        <v>338</v>
      </c>
      <c r="C2038" s="1">
        <v>21367</v>
      </c>
      <c r="D2038" t="s">
        <v>53</v>
      </c>
      <c r="E2038">
        <v>-3.4</v>
      </c>
    </row>
    <row r="2039" spans="1:5" hidden="1" x14ac:dyDescent="0.3">
      <c r="A2039" t="s">
        <v>371</v>
      </c>
      <c r="B2039" t="s">
        <v>372</v>
      </c>
      <c r="C2039" s="1">
        <v>21367</v>
      </c>
      <c r="D2039" t="s">
        <v>53</v>
      </c>
      <c r="E2039">
        <v>73.23</v>
      </c>
    </row>
    <row r="2040" spans="1:5" hidden="1" x14ac:dyDescent="0.3">
      <c r="A2040" t="s">
        <v>5</v>
      </c>
      <c r="B2040" t="s">
        <v>6</v>
      </c>
      <c r="C2040" s="1">
        <v>21276</v>
      </c>
      <c r="D2040" t="s">
        <v>52</v>
      </c>
      <c r="E2040">
        <v>-2.02</v>
      </c>
    </row>
    <row r="2041" spans="1:5" hidden="1" x14ac:dyDescent="0.3">
      <c r="A2041" t="s">
        <v>325</v>
      </c>
      <c r="B2041" t="s">
        <v>326</v>
      </c>
      <c r="C2041" s="1">
        <v>21276</v>
      </c>
      <c r="D2041" t="s">
        <v>52</v>
      </c>
      <c r="E2041">
        <v>2.4300000000000002</v>
      </c>
    </row>
    <row r="2042" spans="1:5" x14ac:dyDescent="0.3">
      <c r="A2042" t="s">
        <v>329</v>
      </c>
      <c r="B2042" t="s">
        <v>330</v>
      </c>
      <c r="C2042" s="1">
        <v>21276</v>
      </c>
      <c r="D2042" t="s">
        <v>52</v>
      </c>
      <c r="E2042">
        <v>-68.67</v>
      </c>
    </row>
    <row r="2043" spans="1:5" hidden="1" x14ac:dyDescent="0.3">
      <c r="A2043" t="s">
        <v>337</v>
      </c>
      <c r="B2043" t="s">
        <v>338</v>
      </c>
      <c r="C2043" s="1">
        <v>21276</v>
      </c>
      <c r="D2043" t="s">
        <v>52</v>
      </c>
      <c r="E2043">
        <v>-4.1399999999999997</v>
      </c>
    </row>
    <row r="2044" spans="1:5" hidden="1" x14ac:dyDescent="0.3">
      <c r="A2044" t="s">
        <v>371</v>
      </c>
      <c r="B2044" t="s">
        <v>372</v>
      </c>
      <c r="C2044" s="1">
        <v>21276</v>
      </c>
      <c r="D2044" t="s">
        <v>52</v>
      </c>
      <c r="E2044">
        <v>79.680000000000007</v>
      </c>
    </row>
    <row r="2045" spans="1:5" hidden="1" x14ac:dyDescent="0.3">
      <c r="A2045" t="s">
        <v>5</v>
      </c>
      <c r="B2045" t="s">
        <v>6</v>
      </c>
      <c r="C2045" s="1">
        <v>21186</v>
      </c>
      <c r="D2045" t="s">
        <v>51</v>
      </c>
      <c r="E2045">
        <v>-2.87</v>
      </c>
    </row>
    <row r="2046" spans="1:5" hidden="1" x14ac:dyDescent="0.3">
      <c r="A2046" t="s">
        <v>325</v>
      </c>
      <c r="B2046" t="s">
        <v>326</v>
      </c>
      <c r="C2046" s="1">
        <v>21186</v>
      </c>
      <c r="D2046" t="s">
        <v>51</v>
      </c>
      <c r="E2046">
        <v>2.8</v>
      </c>
    </row>
    <row r="2047" spans="1:5" x14ac:dyDescent="0.3">
      <c r="A2047" t="s">
        <v>329</v>
      </c>
      <c r="B2047" t="s">
        <v>330</v>
      </c>
      <c r="C2047" s="1">
        <v>21186</v>
      </c>
      <c r="D2047" t="s">
        <v>51</v>
      </c>
      <c r="E2047">
        <v>-36.479999999999997</v>
      </c>
    </row>
    <row r="2048" spans="1:5" hidden="1" x14ac:dyDescent="0.3">
      <c r="A2048" t="s">
        <v>337</v>
      </c>
      <c r="B2048" t="s">
        <v>338</v>
      </c>
      <c r="C2048" s="1">
        <v>21186</v>
      </c>
      <c r="D2048" t="s">
        <v>51</v>
      </c>
      <c r="E2048">
        <v>-2.63</v>
      </c>
    </row>
    <row r="2049" spans="1:5" hidden="1" x14ac:dyDescent="0.3">
      <c r="A2049" t="s">
        <v>371</v>
      </c>
      <c r="B2049" t="s">
        <v>372</v>
      </c>
      <c r="C2049" s="1">
        <v>21186</v>
      </c>
      <c r="D2049" t="s">
        <v>51</v>
      </c>
      <c r="E2049">
        <v>60.18</v>
      </c>
    </row>
    <row r="2050" spans="1:5" hidden="1" x14ac:dyDescent="0.3">
      <c r="A2050" t="s">
        <v>5</v>
      </c>
      <c r="B2050" t="s">
        <v>6</v>
      </c>
      <c r="C2050" s="1">
        <v>21094</v>
      </c>
      <c r="D2050" t="s">
        <v>50</v>
      </c>
      <c r="E2050">
        <v>0.35</v>
      </c>
    </row>
    <row r="2051" spans="1:5" hidden="1" x14ac:dyDescent="0.3">
      <c r="A2051" t="s">
        <v>325</v>
      </c>
      <c r="B2051" t="s">
        <v>326</v>
      </c>
      <c r="C2051" s="1">
        <v>21094</v>
      </c>
      <c r="D2051" t="s">
        <v>50</v>
      </c>
    </row>
    <row r="2052" spans="1:5" x14ac:dyDescent="0.3">
      <c r="A2052" t="s">
        <v>329</v>
      </c>
      <c r="B2052" t="s">
        <v>330</v>
      </c>
      <c r="C2052" s="1">
        <v>21094</v>
      </c>
      <c r="D2052" t="s">
        <v>50</v>
      </c>
      <c r="E2052">
        <v>11.14</v>
      </c>
    </row>
    <row r="2053" spans="1:5" hidden="1" x14ac:dyDescent="0.3">
      <c r="A2053" t="s">
        <v>337</v>
      </c>
      <c r="B2053" t="s">
        <v>338</v>
      </c>
      <c r="C2053" s="1">
        <v>21094</v>
      </c>
      <c r="D2053" t="s">
        <v>50</v>
      </c>
      <c r="E2053">
        <v>-0.52</v>
      </c>
    </row>
    <row r="2054" spans="1:5" hidden="1" x14ac:dyDescent="0.3">
      <c r="A2054" t="s">
        <v>371</v>
      </c>
      <c r="B2054" t="s">
        <v>372</v>
      </c>
      <c r="C2054" s="1">
        <v>21094</v>
      </c>
      <c r="D2054" t="s">
        <v>50</v>
      </c>
      <c r="E2054">
        <v>19.36</v>
      </c>
    </row>
    <row r="2055" spans="1:5" hidden="1" x14ac:dyDescent="0.3">
      <c r="A2055" t="s">
        <v>5</v>
      </c>
      <c r="B2055" t="s">
        <v>6</v>
      </c>
      <c r="C2055" s="1">
        <v>21002</v>
      </c>
      <c r="D2055" t="s">
        <v>49</v>
      </c>
      <c r="E2055">
        <v>3.07</v>
      </c>
    </row>
    <row r="2056" spans="1:5" hidden="1" x14ac:dyDescent="0.3">
      <c r="A2056" t="s">
        <v>325</v>
      </c>
      <c r="B2056" t="s">
        <v>326</v>
      </c>
      <c r="C2056" s="1">
        <v>21002</v>
      </c>
      <c r="D2056" t="s">
        <v>49</v>
      </c>
    </row>
    <row r="2057" spans="1:5" x14ac:dyDescent="0.3">
      <c r="A2057" t="s">
        <v>329</v>
      </c>
      <c r="B2057" t="s">
        <v>330</v>
      </c>
      <c r="C2057" s="1">
        <v>21002</v>
      </c>
      <c r="D2057" t="s">
        <v>49</v>
      </c>
      <c r="E2057">
        <v>15.05</v>
      </c>
    </row>
    <row r="2058" spans="1:5" hidden="1" x14ac:dyDescent="0.3">
      <c r="A2058" t="s">
        <v>337</v>
      </c>
      <c r="B2058" t="s">
        <v>338</v>
      </c>
      <c r="C2058" s="1">
        <v>21002</v>
      </c>
      <c r="D2058" t="s">
        <v>49</v>
      </c>
      <c r="E2058">
        <v>1.27</v>
      </c>
    </row>
    <row r="2059" spans="1:5" hidden="1" x14ac:dyDescent="0.3">
      <c r="A2059" t="s">
        <v>371</v>
      </c>
      <c r="B2059" t="s">
        <v>372</v>
      </c>
      <c r="C2059" s="1">
        <v>21002</v>
      </c>
      <c r="D2059" t="s">
        <v>49</v>
      </c>
      <c r="E2059">
        <v>2.42</v>
      </c>
    </row>
    <row r="2060" spans="1:5" hidden="1" x14ac:dyDescent="0.3">
      <c r="A2060" t="s">
        <v>5</v>
      </c>
      <c r="B2060" t="s">
        <v>6</v>
      </c>
      <c r="C2060" s="1">
        <v>20911</v>
      </c>
      <c r="D2060" t="s">
        <v>48</v>
      </c>
      <c r="E2060">
        <v>1.98</v>
      </c>
    </row>
    <row r="2061" spans="1:5" hidden="1" x14ac:dyDescent="0.3">
      <c r="A2061" t="s">
        <v>325</v>
      </c>
      <c r="B2061" t="s">
        <v>326</v>
      </c>
      <c r="C2061" s="1">
        <v>20911</v>
      </c>
      <c r="D2061" t="s">
        <v>48</v>
      </c>
    </row>
    <row r="2062" spans="1:5" x14ac:dyDescent="0.3">
      <c r="A2062" t="s">
        <v>329</v>
      </c>
      <c r="B2062" t="s">
        <v>330</v>
      </c>
      <c r="C2062" s="1">
        <v>20911</v>
      </c>
      <c r="D2062" t="s">
        <v>48</v>
      </c>
      <c r="E2062">
        <v>11.4</v>
      </c>
    </row>
    <row r="2063" spans="1:5" hidden="1" x14ac:dyDescent="0.3">
      <c r="A2063" t="s">
        <v>337</v>
      </c>
      <c r="B2063" t="s">
        <v>338</v>
      </c>
      <c r="C2063" s="1">
        <v>20911</v>
      </c>
      <c r="D2063" t="s">
        <v>48</v>
      </c>
      <c r="E2063">
        <v>1.26</v>
      </c>
    </row>
    <row r="2064" spans="1:5" hidden="1" x14ac:dyDescent="0.3">
      <c r="A2064" t="s">
        <v>371</v>
      </c>
      <c r="B2064" t="s">
        <v>372</v>
      </c>
      <c r="C2064" s="1">
        <v>20911</v>
      </c>
      <c r="D2064" t="s">
        <v>48</v>
      </c>
      <c r="E2064">
        <v>-2.38</v>
      </c>
    </row>
    <row r="2065" spans="1:5" hidden="1" x14ac:dyDescent="0.3">
      <c r="A2065" t="s">
        <v>5</v>
      </c>
      <c r="B2065" t="s">
        <v>6</v>
      </c>
      <c r="C2065" s="1">
        <v>20821</v>
      </c>
      <c r="D2065" t="s">
        <v>47</v>
      </c>
      <c r="E2065">
        <v>3.05</v>
      </c>
    </row>
    <row r="2066" spans="1:5" hidden="1" x14ac:dyDescent="0.3">
      <c r="A2066" t="s">
        <v>325</v>
      </c>
      <c r="B2066" t="s">
        <v>326</v>
      </c>
      <c r="C2066" s="1">
        <v>20821</v>
      </c>
      <c r="D2066" t="s">
        <v>47</v>
      </c>
    </row>
    <row r="2067" spans="1:5" x14ac:dyDescent="0.3">
      <c r="A2067" t="s">
        <v>329</v>
      </c>
      <c r="B2067" t="s">
        <v>330</v>
      </c>
      <c r="C2067" s="1">
        <v>20821</v>
      </c>
      <c r="D2067" t="s">
        <v>47</v>
      </c>
      <c r="E2067">
        <v>18.12</v>
      </c>
    </row>
    <row r="2068" spans="1:5" hidden="1" x14ac:dyDescent="0.3">
      <c r="A2068" t="s">
        <v>337</v>
      </c>
      <c r="B2068" t="s">
        <v>338</v>
      </c>
      <c r="C2068" s="1">
        <v>20821</v>
      </c>
      <c r="D2068" t="s">
        <v>47</v>
      </c>
      <c r="E2068">
        <v>1.73</v>
      </c>
    </row>
    <row r="2069" spans="1:5" hidden="1" x14ac:dyDescent="0.3">
      <c r="A2069" t="s">
        <v>371</v>
      </c>
      <c r="B2069" t="s">
        <v>372</v>
      </c>
      <c r="C2069" s="1">
        <v>20821</v>
      </c>
      <c r="D2069" t="s">
        <v>47</v>
      </c>
      <c r="E2069">
        <v>-2.48</v>
      </c>
    </row>
    <row r="2070" spans="1:5" hidden="1" x14ac:dyDescent="0.3">
      <c r="A2070" t="s">
        <v>5</v>
      </c>
      <c r="B2070" t="s">
        <v>6</v>
      </c>
      <c r="C2070" s="1">
        <v>20729</v>
      </c>
      <c r="D2070" t="s">
        <v>46</v>
      </c>
      <c r="E2070">
        <v>2</v>
      </c>
    </row>
    <row r="2071" spans="1:5" x14ac:dyDescent="0.3">
      <c r="A2071" t="s">
        <v>329</v>
      </c>
      <c r="B2071" t="s">
        <v>330</v>
      </c>
      <c r="C2071" s="1">
        <v>20729</v>
      </c>
      <c r="D2071" t="s">
        <v>46</v>
      </c>
      <c r="E2071">
        <v>24.18</v>
      </c>
    </row>
    <row r="2072" spans="1:5" hidden="1" x14ac:dyDescent="0.3">
      <c r="A2072" t="s">
        <v>337</v>
      </c>
      <c r="B2072" t="s">
        <v>338</v>
      </c>
      <c r="C2072" s="1">
        <v>20729</v>
      </c>
      <c r="D2072" t="s">
        <v>46</v>
      </c>
      <c r="E2072">
        <v>2.39</v>
      </c>
    </row>
    <row r="2073" spans="1:5" hidden="1" x14ac:dyDescent="0.3">
      <c r="A2073" t="s">
        <v>371</v>
      </c>
      <c r="B2073" t="s">
        <v>372</v>
      </c>
      <c r="C2073" s="1">
        <v>20729</v>
      </c>
      <c r="D2073" t="s">
        <v>46</v>
      </c>
      <c r="E2073">
        <v>-2.36</v>
      </c>
    </row>
    <row r="2074" spans="1:5" hidden="1" x14ac:dyDescent="0.3">
      <c r="A2074" t="s">
        <v>5</v>
      </c>
      <c r="B2074" t="s">
        <v>6</v>
      </c>
      <c r="C2074" s="1">
        <v>20637</v>
      </c>
      <c r="D2074" t="s">
        <v>45</v>
      </c>
      <c r="E2074">
        <v>0.95</v>
      </c>
    </row>
    <row r="2075" spans="1:5" x14ac:dyDescent="0.3">
      <c r="A2075" t="s">
        <v>329</v>
      </c>
      <c r="B2075" t="s">
        <v>330</v>
      </c>
      <c r="C2075" s="1">
        <v>20637</v>
      </c>
      <c r="D2075" t="s">
        <v>45</v>
      </c>
      <c r="E2075">
        <v>44.85</v>
      </c>
    </row>
    <row r="2076" spans="1:5" hidden="1" x14ac:dyDescent="0.3">
      <c r="A2076" t="s">
        <v>337</v>
      </c>
      <c r="B2076" t="s">
        <v>338</v>
      </c>
      <c r="C2076" s="1">
        <v>20637</v>
      </c>
      <c r="D2076" t="s">
        <v>45</v>
      </c>
      <c r="E2076">
        <v>2.4900000000000002</v>
      </c>
    </row>
    <row r="2077" spans="1:5" hidden="1" x14ac:dyDescent="0.3">
      <c r="A2077" t="s">
        <v>371</v>
      </c>
      <c r="B2077" t="s">
        <v>372</v>
      </c>
      <c r="C2077" s="1">
        <v>20637</v>
      </c>
      <c r="D2077" t="s">
        <v>45</v>
      </c>
      <c r="E2077">
        <v>0.8</v>
      </c>
    </row>
    <row r="2078" spans="1:5" hidden="1" x14ac:dyDescent="0.3">
      <c r="A2078" t="s">
        <v>5</v>
      </c>
      <c r="B2078" t="s">
        <v>6</v>
      </c>
      <c r="C2078" s="1">
        <v>20546</v>
      </c>
      <c r="D2078" t="s">
        <v>44</v>
      </c>
      <c r="E2078">
        <v>2.4</v>
      </c>
    </row>
    <row r="2079" spans="1:5" x14ac:dyDescent="0.3">
      <c r="A2079" t="s">
        <v>329</v>
      </c>
      <c r="B2079" t="s">
        <v>330</v>
      </c>
      <c r="C2079" s="1">
        <v>20546</v>
      </c>
      <c r="D2079" t="s">
        <v>44</v>
      </c>
      <c r="E2079">
        <v>79.53</v>
      </c>
    </row>
    <row r="2080" spans="1:5" hidden="1" x14ac:dyDescent="0.3">
      <c r="A2080" t="s">
        <v>337</v>
      </c>
      <c r="B2080" t="s">
        <v>338</v>
      </c>
      <c r="C2080" s="1">
        <v>20546</v>
      </c>
      <c r="D2080" t="s">
        <v>44</v>
      </c>
      <c r="E2080">
        <v>3.9</v>
      </c>
    </row>
    <row r="2081" spans="1:5" hidden="1" x14ac:dyDescent="0.3">
      <c r="A2081" t="s">
        <v>371</v>
      </c>
      <c r="B2081" t="s">
        <v>372</v>
      </c>
      <c r="C2081" s="1">
        <v>20546</v>
      </c>
      <c r="D2081" t="s">
        <v>44</v>
      </c>
      <c r="E2081">
        <v>-4.55</v>
      </c>
    </row>
    <row r="2082" spans="1:5" hidden="1" x14ac:dyDescent="0.3">
      <c r="A2082" t="s">
        <v>5</v>
      </c>
      <c r="B2082" t="s">
        <v>6</v>
      </c>
      <c r="C2082" s="1">
        <v>20455</v>
      </c>
      <c r="D2082" t="s">
        <v>43</v>
      </c>
      <c r="E2082">
        <v>3.22</v>
      </c>
    </row>
    <row r="2083" spans="1:5" x14ac:dyDescent="0.3">
      <c r="A2083" t="s">
        <v>329</v>
      </c>
      <c r="B2083" t="s">
        <v>330</v>
      </c>
      <c r="C2083" s="1">
        <v>20455</v>
      </c>
      <c r="D2083" t="s">
        <v>43</v>
      </c>
      <c r="E2083">
        <v>84.88</v>
      </c>
    </row>
    <row r="2084" spans="1:5" hidden="1" x14ac:dyDescent="0.3">
      <c r="A2084" t="s">
        <v>337</v>
      </c>
      <c r="B2084" t="s">
        <v>338</v>
      </c>
      <c r="C2084" s="1">
        <v>20455</v>
      </c>
      <c r="D2084" t="s">
        <v>43</v>
      </c>
      <c r="E2084">
        <v>4.92</v>
      </c>
    </row>
    <row r="2085" spans="1:5" hidden="1" x14ac:dyDescent="0.3">
      <c r="A2085" t="s">
        <v>371</v>
      </c>
      <c r="B2085" t="s">
        <v>372</v>
      </c>
      <c r="C2085" s="1">
        <v>20455</v>
      </c>
      <c r="D2085" t="s">
        <v>43</v>
      </c>
      <c r="E2085">
        <v>-14.79</v>
      </c>
    </row>
    <row r="2086" spans="1:5" hidden="1" x14ac:dyDescent="0.3">
      <c r="A2086" t="s">
        <v>5</v>
      </c>
      <c r="B2086" t="s">
        <v>6</v>
      </c>
      <c r="C2086" s="1">
        <v>20363</v>
      </c>
      <c r="D2086" t="s">
        <v>42</v>
      </c>
      <c r="E2086">
        <v>6.58</v>
      </c>
    </row>
    <row r="2087" spans="1:5" x14ac:dyDescent="0.3">
      <c r="A2087" t="s">
        <v>329</v>
      </c>
      <c r="B2087" t="s">
        <v>330</v>
      </c>
      <c r="C2087" s="1">
        <v>20363</v>
      </c>
      <c r="D2087" t="s">
        <v>42</v>
      </c>
      <c r="E2087">
        <v>138.80000000000001</v>
      </c>
    </row>
    <row r="2088" spans="1:5" hidden="1" x14ac:dyDescent="0.3">
      <c r="A2088" t="s">
        <v>337</v>
      </c>
      <c r="B2088" t="s">
        <v>338</v>
      </c>
      <c r="C2088" s="1">
        <v>20363</v>
      </c>
      <c r="D2088" t="s">
        <v>42</v>
      </c>
      <c r="E2088">
        <v>5</v>
      </c>
    </row>
    <row r="2089" spans="1:5" hidden="1" x14ac:dyDescent="0.3">
      <c r="A2089" t="s">
        <v>371</v>
      </c>
      <c r="B2089" t="s">
        <v>372</v>
      </c>
      <c r="C2089" s="1">
        <v>20363</v>
      </c>
      <c r="D2089" t="s">
        <v>42</v>
      </c>
      <c r="E2089">
        <v>-20.63</v>
      </c>
    </row>
    <row r="2090" spans="1:5" hidden="1" x14ac:dyDescent="0.3">
      <c r="A2090" t="s">
        <v>5</v>
      </c>
      <c r="B2090" t="s">
        <v>6</v>
      </c>
      <c r="C2090" s="1">
        <v>20271</v>
      </c>
      <c r="D2090" t="s">
        <v>41</v>
      </c>
      <c r="E2090">
        <v>8.02</v>
      </c>
    </row>
    <row r="2091" spans="1:5" x14ac:dyDescent="0.3">
      <c r="A2091" t="s">
        <v>329</v>
      </c>
      <c r="B2091" t="s">
        <v>330</v>
      </c>
      <c r="C2091" s="1">
        <v>20271</v>
      </c>
      <c r="D2091" t="s">
        <v>41</v>
      </c>
      <c r="E2091">
        <v>88.35</v>
      </c>
    </row>
    <row r="2092" spans="1:5" hidden="1" x14ac:dyDescent="0.3">
      <c r="A2092" t="s">
        <v>337</v>
      </c>
      <c r="B2092" t="s">
        <v>338</v>
      </c>
      <c r="C2092" s="1">
        <v>20271</v>
      </c>
      <c r="D2092" t="s">
        <v>41</v>
      </c>
      <c r="E2092">
        <v>4.6500000000000004</v>
      </c>
    </row>
    <row r="2093" spans="1:5" hidden="1" x14ac:dyDescent="0.3">
      <c r="A2093" t="s">
        <v>371</v>
      </c>
      <c r="B2093" t="s">
        <v>372</v>
      </c>
      <c r="C2093" s="1">
        <v>20271</v>
      </c>
      <c r="D2093" t="s">
        <v>41</v>
      </c>
      <c r="E2093">
        <v>-31.29</v>
      </c>
    </row>
    <row r="2094" spans="1:5" hidden="1" x14ac:dyDescent="0.3">
      <c r="A2094" t="s">
        <v>5</v>
      </c>
      <c r="B2094" t="s">
        <v>6</v>
      </c>
      <c r="C2094" s="1">
        <v>20180</v>
      </c>
      <c r="D2094" t="s">
        <v>40</v>
      </c>
      <c r="E2094">
        <v>7.78</v>
      </c>
    </row>
    <row r="2095" spans="1:5" hidden="1" x14ac:dyDescent="0.3">
      <c r="A2095" t="s">
        <v>329</v>
      </c>
      <c r="B2095" t="s">
        <v>330</v>
      </c>
      <c r="C2095" s="1">
        <v>20180</v>
      </c>
      <c r="D2095" t="s">
        <v>40</v>
      </c>
    </row>
    <row r="2096" spans="1:5" hidden="1" x14ac:dyDescent="0.3">
      <c r="A2096" t="s">
        <v>337</v>
      </c>
      <c r="B2096" t="s">
        <v>338</v>
      </c>
      <c r="C2096" s="1">
        <v>20180</v>
      </c>
      <c r="D2096" t="s">
        <v>40</v>
      </c>
      <c r="E2096">
        <v>3.07</v>
      </c>
    </row>
    <row r="2097" spans="1:5" hidden="1" x14ac:dyDescent="0.3">
      <c r="A2097" t="s">
        <v>371</v>
      </c>
      <c r="B2097" t="s">
        <v>372</v>
      </c>
      <c r="C2097" s="1">
        <v>20180</v>
      </c>
      <c r="D2097" t="s">
        <v>40</v>
      </c>
      <c r="E2097">
        <v>-24.14</v>
      </c>
    </row>
    <row r="2098" spans="1:5" hidden="1" x14ac:dyDescent="0.3">
      <c r="A2098" t="s">
        <v>5</v>
      </c>
      <c r="B2098" t="s">
        <v>6</v>
      </c>
      <c r="C2098" s="1">
        <v>20090</v>
      </c>
      <c r="D2098" t="s">
        <v>39</v>
      </c>
      <c r="E2098">
        <v>6.17</v>
      </c>
    </row>
    <row r="2099" spans="1:5" hidden="1" x14ac:dyDescent="0.3">
      <c r="A2099" t="s">
        <v>329</v>
      </c>
      <c r="B2099" t="s">
        <v>330</v>
      </c>
      <c r="C2099" s="1">
        <v>20090</v>
      </c>
      <c r="D2099" t="s">
        <v>39</v>
      </c>
    </row>
    <row r="2100" spans="1:5" hidden="1" x14ac:dyDescent="0.3">
      <c r="A2100" t="s">
        <v>337</v>
      </c>
      <c r="B2100" t="s">
        <v>338</v>
      </c>
      <c r="C2100" s="1">
        <v>20090</v>
      </c>
      <c r="D2100" t="s">
        <v>39</v>
      </c>
      <c r="E2100">
        <v>0.74</v>
      </c>
    </row>
    <row r="2101" spans="1:5" hidden="1" x14ac:dyDescent="0.3">
      <c r="A2101" t="s">
        <v>371</v>
      </c>
      <c r="B2101" t="s">
        <v>372</v>
      </c>
      <c r="C2101" s="1">
        <v>20090</v>
      </c>
      <c r="D2101" t="s">
        <v>39</v>
      </c>
      <c r="E2101">
        <v>-10.14</v>
      </c>
    </row>
    <row r="2102" spans="1:5" hidden="1" x14ac:dyDescent="0.3">
      <c r="A2102" t="s">
        <v>5</v>
      </c>
      <c r="B2102" t="s">
        <v>6</v>
      </c>
      <c r="C2102" s="1">
        <v>19998</v>
      </c>
      <c r="D2102" t="s">
        <v>38</v>
      </c>
      <c r="E2102">
        <v>2.73</v>
      </c>
    </row>
    <row r="2103" spans="1:5" hidden="1" x14ac:dyDescent="0.3">
      <c r="A2103" t="s">
        <v>329</v>
      </c>
      <c r="B2103" t="s">
        <v>330</v>
      </c>
      <c r="C2103" s="1">
        <v>19998</v>
      </c>
      <c r="D2103" t="s">
        <v>38</v>
      </c>
    </row>
    <row r="2104" spans="1:5" hidden="1" x14ac:dyDescent="0.3">
      <c r="A2104" t="s">
        <v>337</v>
      </c>
      <c r="B2104" t="s">
        <v>338</v>
      </c>
      <c r="C2104" s="1">
        <v>19998</v>
      </c>
      <c r="D2104" t="s">
        <v>38</v>
      </c>
      <c r="E2104">
        <v>-1.6</v>
      </c>
    </row>
    <row r="2105" spans="1:5" hidden="1" x14ac:dyDescent="0.3">
      <c r="A2105" t="s">
        <v>371</v>
      </c>
      <c r="B2105" t="s">
        <v>372</v>
      </c>
      <c r="C2105" s="1">
        <v>19998</v>
      </c>
      <c r="D2105" t="s">
        <v>38</v>
      </c>
      <c r="E2105">
        <v>44.14</v>
      </c>
    </row>
    <row r="2106" spans="1:5" hidden="1" x14ac:dyDescent="0.3">
      <c r="A2106" t="s">
        <v>5</v>
      </c>
      <c r="B2106" t="s">
        <v>6</v>
      </c>
      <c r="C2106" s="1">
        <v>19906</v>
      </c>
      <c r="D2106" t="s">
        <v>37</v>
      </c>
      <c r="E2106">
        <v>-0.77</v>
      </c>
    </row>
    <row r="2107" spans="1:5" hidden="1" x14ac:dyDescent="0.3">
      <c r="A2107" t="s">
        <v>329</v>
      </c>
      <c r="B2107" t="s">
        <v>330</v>
      </c>
      <c r="C2107" s="1">
        <v>19906</v>
      </c>
      <c r="D2107" t="s">
        <v>37</v>
      </c>
    </row>
    <row r="2108" spans="1:5" hidden="1" x14ac:dyDescent="0.3">
      <c r="A2108" t="s">
        <v>337</v>
      </c>
      <c r="B2108" t="s">
        <v>338</v>
      </c>
      <c r="C2108" s="1">
        <v>19906</v>
      </c>
      <c r="D2108" t="s">
        <v>37</v>
      </c>
      <c r="E2108">
        <v>-3.2</v>
      </c>
    </row>
    <row r="2109" spans="1:5" hidden="1" x14ac:dyDescent="0.3">
      <c r="A2109" t="s">
        <v>371</v>
      </c>
      <c r="B2109" t="s">
        <v>372</v>
      </c>
      <c r="C2109" s="1">
        <v>19906</v>
      </c>
      <c r="D2109" t="s">
        <v>37</v>
      </c>
      <c r="E2109">
        <v>118.33</v>
      </c>
    </row>
    <row r="2110" spans="1:5" hidden="1" x14ac:dyDescent="0.3">
      <c r="A2110" t="s">
        <v>5</v>
      </c>
      <c r="B2110" t="s">
        <v>6</v>
      </c>
      <c r="C2110" s="1">
        <v>19815</v>
      </c>
      <c r="D2110" t="s">
        <v>36</v>
      </c>
      <c r="E2110">
        <v>-2.4300000000000002</v>
      </c>
    </row>
    <row r="2111" spans="1:5" hidden="1" x14ac:dyDescent="0.3">
      <c r="A2111" t="s">
        <v>337</v>
      </c>
      <c r="B2111" t="s">
        <v>338</v>
      </c>
      <c r="C2111" s="1">
        <v>19815</v>
      </c>
      <c r="D2111" t="s">
        <v>36</v>
      </c>
      <c r="E2111">
        <v>-2.91</v>
      </c>
    </row>
    <row r="2112" spans="1:5" hidden="1" x14ac:dyDescent="0.3">
      <c r="A2112" t="s">
        <v>371</v>
      </c>
      <c r="B2112" t="s">
        <v>372</v>
      </c>
      <c r="C2112" s="1">
        <v>19815</v>
      </c>
      <c r="D2112" t="s">
        <v>36</v>
      </c>
      <c r="E2112">
        <v>125.94</v>
      </c>
    </row>
    <row r="2113" spans="1:5" hidden="1" x14ac:dyDescent="0.3">
      <c r="A2113" t="s">
        <v>5</v>
      </c>
      <c r="B2113" t="s">
        <v>6</v>
      </c>
      <c r="C2113" s="1">
        <v>19725</v>
      </c>
      <c r="D2113" t="s">
        <v>35</v>
      </c>
      <c r="E2113">
        <v>-1.78</v>
      </c>
    </row>
    <row r="2114" spans="1:5" hidden="1" x14ac:dyDescent="0.3">
      <c r="A2114" t="s">
        <v>337</v>
      </c>
      <c r="B2114" t="s">
        <v>338</v>
      </c>
      <c r="C2114" s="1">
        <v>19725</v>
      </c>
      <c r="D2114" t="s">
        <v>35</v>
      </c>
      <c r="E2114">
        <v>-1.95</v>
      </c>
    </row>
    <row r="2115" spans="1:5" hidden="1" x14ac:dyDescent="0.3">
      <c r="A2115" t="s">
        <v>371</v>
      </c>
      <c r="B2115" t="s">
        <v>372</v>
      </c>
      <c r="C2115" s="1">
        <v>19725</v>
      </c>
      <c r="D2115" t="s">
        <v>35</v>
      </c>
      <c r="E2115">
        <v>95.07</v>
      </c>
    </row>
    <row r="2116" spans="1:5" hidden="1" x14ac:dyDescent="0.3">
      <c r="A2116" t="s">
        <v>5</v>
      </c>
      <c r="B2116" t="s">
        <v>6</v>
      </c>
      <c r="C2116" s="1">
        <v>19633</v>
      </c>
      <c r="D2116" t="s">
        <v>34</v>
      </c>
      <c r="E2116">
        <v>0.52</v>
      </c>
    </row>
    <row r="2117" spans="1:5" hidden="1" x14ac:dyDescent="0.3">
      <c r="A2117" t="s">
        <v>337</v>
      </c>
      <c r="B2117" t="s">
        <v>338</v>
      </c>
      <c r="C2117" s="1">
        <v>19633</v>
      </c>
      <c r="D2117" t="s">
        <v>34</v>
      </c>
      <c r="E2117">
        <v>0.18</v>
      </c>
    </row>
    <row r="2118" spans="1:5" hidden="1" x14ac:dyDescent="0.3">
      <c r="A2118" t="s">
        <v>371</v>
      </c>
      <c r="B2118" t="s">
        <v>372</v>
      </c>
      <c r="C2118" s="1">
        <v>19633</v>
      </c>
      <c r="D2118" t="s">
        <v>34</v>
      </c>
      <c r="E2118">
        <v>30.6</v>
      </c>
    </row>
    <row r="2119" spans="1:5" hidden="1" x14ac:dyDescent="0.3">
      <c r="A2119" t="s">
        <v>5</v>
      </c>
      <c r="B2119" t="s">
        <v>6</v>
      </c>
      <c r="C2119" s="1">
        <v>19541</v>
      </c>
      <c r="D2119" t="s">
        <v>33</v>
      </c>
      <c r="E2119">
        <v>5.42</v>
      </c>
    </row>
    <row r="2120" spans="1:5" hidden="1" x14ac:dyDescent="0.3">
      <c r="A2120" t="s">
        <v>337</v>
      </c>
      <c r="B2120" t="s">
        <v>338</v>
      </c>
      <c r="C2120" s="1">
        <v>19541</v>
      </c>
      <c r="D2120" t="s">
        <v>33</v>
      </c>
      <c r="E2120">
        <v>3.42</v>
      </c>
    </row>
    <row r="2121" spans="1:5" hidden="1" x14ac:dyDescent="0.3">
      <c r="A2121" t="s">
        <v>371</v>
      </c>
      <c r="B2121" t="s">
        <v>372</v>
      </c>
      <c r="C2121" s="1">
        <v>19541</v>
      </c>
      <c r="D2121" t="s">
        <v>33</v>
      </c>
      <c r="E2121">
        <v>-15.47</v>
      </c>
    </row>
    <row r="2122" spans="1:5" hidden="1" x14ac:dyDescent="0.3">
      <c r="A2122" t="s">
        <v>5</v>
      </c>
      <c r="B2122" t="s">
        <v>6</v>
      </c>
      <c r="C2122" s="1">
        <v>19450</v>
      </c>
      <c r="D2122" t="s">
        <v>32</v>
      </c>
      <c r="E2122">
        <v>6.78</v>
      </c>
    </row>
    <row r="2123" spans="1:5" hidden="1" x14ac:dyDescent="0.3">
      <c r="A2123" t="s">
        <v>337</v>
      </c>
      <c r="B2123" t="s">
        <v>338</v>
      </c>
      <c r="C2123" s="1">
        <v>19450</v>
      </c>
      <c r="D2123" t="s">
        <v>32</v>
      </c>
      <c r="E2123">
        <v>4.05</v>
      </c>
    </row>
    <row r="2124" spans="1:5" hidden="1" x14ac:dyDescent="0.3">
      <c r="A2124" t="s">
        <v>371</v>
      </c>
      <c r="B2124" t="s">
        <v>372</v>
      </c>
      <c r="C2124" s="1">
        <v>19450</v>
      </c>
      <c r="D2124" t="s">
        <v>32</v>
      </c>
      <c r="E2124">
        <v>-13.48</v>
      </c>
    </row>
    <row r="2125" spans="1:5" hidden="1" x14ac:dyDescent="0.3">
      <c r="A2125" t="s">
        <v>5</v>
      </c>
      <c r="B2125" t="s">
        <v>6</v>
      </c>
      <c r="C2125" s="1">
        <v>19360</v>
      </c>
      <c r="D2125" t="s">
        <v>31</v>
      </c>
      <c r="E2125">
        <v>6.19</v>
      </c>
    </row>
    <row r="2126" spans="1:5" hidden="1" x14ac:dyDescent="0.3">
      <c r="A2126" t="s">
        <v>337</v>
      </c>
      <c r="B2126" t="s">
        <v>338</v>
      </c>
      <c r="C2126" s="1">
        <v>19360</v>
      </c>
      <c r="D2126" t="s">
        <v>31</v>
      </c>
      <c r="E2126">
        <v>3.88</v>
      </c>
    </row>
    <row r="2127" spans="1:5" hidden="1" x14ac:dyDescent="0.3">
      <c r="A2127" t="s">
        <v>371</v>
      </c>
      <c r="B2127" t="s">
        <v>372</v>
      </c>
      <c r="C2127" s="1">
        <v>19360</v>
      </c>
      <c r="D2127" t="s">
        <v>31</v>
      </c>
      <c r="E2127">
        <v>-11.97</v>
      </c>
    </row>
    <row r="2128" spans="1:5" hidden="1" x14ac:dyDescent="0.3">
      <c r="A2128" t="s">
        <v>5</v>
      </c>
      <c r="B2128" t="s">
        <v>6</v>
      </c>
      <c r="C2128" s="1">
        <v>19268</v>
      </c>
      <c r="D2128" t="s">
        <v>30</v>
      </c>
      <c r="E2128">
        <v>5.36</v>
      </c>
    </row>
    <row r="2129" spans="1:5" hidden="1" x14ac:dyDescent="0.3">
      <c r="A2129" t="s">
        <v>337</v>
      </c>
      <c r="B2129" t="s">
        <v>338</v>
      </c>
      <c r="C2129" s="1">
        <v>19268</v>
      </c>
      <c r="D2129" t="s">
        <v>30</v>
      </c>
      <c r="E2129">
        <v>3.54</v>
      </c>
    </row>
    <row r="2130" spans="1:5" hidden="1" x14ac:dyDescent="0.3">
      <c r="A2130" t="s">
        <v>371</v>
      </c>
      <c r="B2130" t="s">
        <v>372</v>
      </c>
      <c r="C2130" s="1">
        <v>19268</v>
      </c>
      <c r="D2130" t="s">
        <v>30</v>
      </c>
      <c r="E2130">
        <v>-15.86</v>
      </c>
    </row>
    <row r="2131" spans="1:5" hidden="1" x14ac:dyDescent="0.3">
      <c r="A2131" t="s">
        <v>5</v>
      </c>
      <c r="B2131" t="s">
        <v>6</v>
      </c>
      <c r="C2131" s="1">
        <v>19176</v>
      </c>
      <c r="D2131" t="s">
        <v>29</v>
      </c>
      <c r="E2131">
        <v>2.2400000000000002</v>
      </c>
    </row>
    <row r="2132" spans="1:5" hidden="1" x14ac:dyDescent="0.3">
      <c r="A2132" t="s">
        <v>337</v>
      </c>
      <c r="B2132" t="s">
        <v>338</v>
      </c>
      <c r="C2132" s="1">
        <v>19176</v>
      </c>
      <c r="D2132" t="s">
        <v>29</v>
      </c>
      <c r="E2132">
        <v>1.64</v>
      </c>
    </row>
    <row r="2133" spans="1:5" hidden="1" x14ac:dyDescent="0.3">
      <c r="A2133" t="s">
        <v>371</v>
      </c>
      <c r="B2133" t="s">
        <v>372</v>
      </c>
      <c r="C2133" s="1">
        <v>19176</v>
      </c>
      <c r="D2133" t="s">
        <v>29</v>
      </c>
      <c r="E2133">
        <v>2.08</v>
      </c>
    </row>
    <row r="2134" spans="1:5" hidden="1" x14ac:dyDescent="0.3">
      <c r="A2134" t="s">
        <v>5</v>
      </c>
      <c r="B2134" t="s">
        <v>6</v>
      </c>
      <c r="C2134" s="1">
        <v>19085</v>
      </c>
      <c r="D2134" t="s">
        <v>28</v>
      </c>
      <c r="E2134">
        <v>3.6</v>
      </c>
    </row>
    <row r="2135" spans="1:5" hidden="1" x14ac:dyDescent="0.3">
      <c r="A2135" t="s">
        <v>337</v>
      </c>
      <c r="B2135" t="s">
        <v>338</v>
      </c>
      <c r="C2135" s="1">
        <v>19085</v>
      </c>
      <c r="D2135" t="s">
        <v>28</v>
      </c>
      <c r="E2135">
        <v>1.1599999999999999</v>
      </c>
    </row>
    <row r="2136" spans="1:5" hidden="1" x14ac:dyDescent="0.3">
      <c r="A2136" t="s">
        <v>371</v>
      </c>
      <c r="B2136" t="s">
        <v>372</v>
      </c>
      <c r="C2136" s="1">
        <v>19085</v>
      </c>
      <c r="D2136" t="s">
        <v>28</v>
      </c>
      <c r="E2136">
        <v>-4.29</v>
      </c>
    </row>
    <row r="2137" spans="1:5" hidden="1" x14ac:dyDescent="0.3">
      <c r="A2137" t="s">
        <v>5</v>
      </c>
      <c r="B2137" t="s">
        <v>6</v>
      </c>
      <c r="C2137" s="1">
        <v>18994</v>
      </c>
      <c r="D2137" t="s">
        <v>27</v>
      </c>
      <c r="E2137">
        <v>5.17</v>
      </c>
    </row>
    <row r="2138" spans="1:5" hidden="1" x14ac:dyDescent="0.3">
      <c r="A2138" t="s">
        <v>337</v>
      </c>
      <c r="B2138" t="s">
        <v>338</v>
      </c>
      <c r="C2138" s="1">
        <v>18994</v>
      </c>
      <c r="D2138" t="s">
        <v>27</v>
      </c>
      <c r="E2138">
        <v>1.81</v>
      </c>
    </row>
    <row r="2139" spans="1:5" hidden="1" x14ac:dyDescent="0.3">
      <c r="A2139" t="s">
        <v>371</v>
      </c>
      <c r="B2139" t="s">
        <v>372</v>
      </c>
      <c r="C2139" s="1">
        <v>18994</v>
      </c>
      <c r="D2139" t="s">
        <v>27</v>
      </c>
      <c r="E2139">
        <v>-12.37</v>
      </c>
    </row>
    <row r="2140" spans="1:5" hidden="1" x14ac:dyDescent="0.3">
      <c r="A2140" t="s">
        <v>5</v>
      </c>
      <c r="B2140" t="s">
        <v>6</v>
      </c>
      <c r="C2140" s="1">
        <v>18902</v>
      </c>
      <c r="D2140" t="s">
        <v>26</v>
      </c>
      <c r="E2140">
        <v>5.47</v>
      </c>
    </row>
    <row r="2141" spans="1:5" hidden="1" x14ac:dyDescent="0.3">
      <c r="A2141" t="s">
        <v>337</v>
      </c>
      <c r="B2141" t="s">
        <v>338</v>
      </c>
      <c r="C2141" s="1">
        <v>18902</v>
      </c>
      <c r="D2141" t="s">
        <v>26</v>
      </c>
      <c r="E2141">
        <v>2.94</v>
      </c>
    </row>
    <row r="2142" spans="1:5" hidden="1" x14ac:dyDescent="0.3">
      <c r="A2142" t="s">
        <v>371</v>
      </c>
      <c r="B2142" t="s">
        <v>372</v>
      </c>
      <c r="C2142" s="1">
        <v>18902</v>
      </c>
      <c r="D2142" t="s">
        <v>26</v>
      </c>
      <c r="E2142">
        <v>-20.46</v>
      </c>
    </row>
    <row r="2143" spans="1:5" hidden="1" x14ac:dyDescent="0.3">
      <c r="A2143" t="s">
        <v>5</v>
      </c>
      <c r="B2143" t="s">
        <v>6</v>
      </c>
      <c r="C2143" s="1">
        <v>18810</v>
      </c>
      <c r="D2143" t="s">
        <v>25</v>
      </c>
      <c r="E2143">
        <v>7.25</v>
      </c>
    </row>
    <row r="2144" spans="1:5" hidden="1" x14ac:dyDescent="0.3">
      <c r="A2144" t="s">
        <v>337</v>
      </c>
      <c r="B2144" t="s">
        <v>338</v>
      </c>
      <c r="C2144" s="1">
        <v>18810</v>
      </c>
      <c r="D2144" t="s">
        <v>25</v>
      </c>
      <c r="E2144">
        <v>4.3</v>
      </c>
    </row>
    <row r="2145" spans="1:5" hidden="1" x14ac:dyDescent="0.3">
      <c r="A2145" t="s">
        <v>371</v>
      </c>
      <c r="B2145" t="s">
        <v>372</v>
      </c>
      <c r="C2145" s="1">
        <v>18810</v>
      </c>
      <c r="D2145" t="s">
        <v>25</v>
      </c>
      <c r="E2145">
        <v>-31.64</v>
      </c>
    </row>
    <row r="2146" spans="1:5" hidden="1" x14ac:dyDescent="0.3">
      <c r="A2146" t="s">
        <v>5</v>
      </c>
      <c r="B2146" t="s">
        <v>6</v>
      </c>
      <c r="C2146" s="1">
        <v>18719</v>
      </c>
      <c r="D2146" t="s">
        <v>24</v>
      </c>
      <c r="E2146">
        <v>9.15</v>
      </c>
    </row>
    <row r="2147" spans="1:5" hidden="1" x14ac:dyDescent="0.3">
      <c r="A2147" t="s">
        <v>337</v>
      </c>
      <c r="B2147" t="s">
        <v>338</v>
      </c>
      <c r="C2147" s="1">
        <v>18719</v>
      </c>
      <c r="D2147" t="s">
        <v>24</v>
      </c>
      <c r="E2147">
        <v>7.22</v>
      </c>
    </row>
    <row r="2148" spans="1:5" hidden="1" x14ac:dyDescent="0.3">
      <c r="A2148" t="s">
        <v>371</v>
      </c>
      <c r="B2148" t="s">
        <v>372</v>
      </c>
      <c r="C2148" s="1">
        <v>18719</v>
      </c>
      <c r="D2148" t="s">
        <v>24</v>
      </c>
      <c r="E2148">
        <v>-44.31</v>
      </c>
    </row>
    <row r="2149" spans="1:5" hidden="1" x14ac:dyDescent="0.3">
      <c r="A2149" t="s">
        <v>5</v>
      </c>
      <c r="B2149" t="s">
        <v>6</v>
      </c>
      <c r="C2149" s="1">
        <v>18629</v>
      </c>
      <c r="D2149" t="s">
        <v>23</v>
      </c>
      <c r="E2149">
        <v>10.56</v>
      </c>
    </row>
    <row r="2150" spans="1:5" hidden="1" x14ac:dyDescent="0.3">
      <c r="A2150" t="s">
        <v>337</v>
      </c>
      <c r="B2150" t="s">
        <v>338</v>
      </c>
      <c r="C2150" s="1">
        <v>18629</v>
      </c>
      <c r="D2150" t="s">
        <v>23</v>
      </c>
      <c r="E2150">
        <v>9.15</v>
      </c>
    </row>
    <row r="2151" spans="1:5" hidden="1" x14ac:dyDescent="0.3">
      <c r="A2151" t="s">
        <v>371</v>
      </c>
      <c r="B2151" t="s">
        <v>372</v>
      </c>
      <c r="C2151" s="1">
        <v>18629</v>
      </c>
      <c r="D2151" t="s">
        <v>23</v>
      </c>
      <c r="E2151">
        <v>-45.31</v>
      </c>
    </row>
    <row r="2152" spans="1:5" hidden="1" x14ac:dyDescent="0.3">
      <c r="A2152" t="s">
        <v>5</v>
      </c>
      <c r="B2152" t="s">
        <v>6</v>
      </c>
      <c r="C2152" s="1">
        <v>18537</v>
      </c>
      <c r="D2152" t="s">
        <v>22</v>
      </c>
      <c r="E2152">
        <v>13.37</v>
      </c>
    </row>
    <row r="2153" spans="1:5" hidden="1" x14ac:dyDescent="0.3">
      <c r="A2153" t="s">
        <v>337</v>
      </c>
      <c r="B2153" t="s">
        <v>338</v>
      </c>
      <c r="C2153" s="1">
        <v>18537</v>
      </c>
      <c r="D2153" t="s">
        <v>22</v>
      </c>
      <c r="E2153">
        <v>8.1999999999999993</v>
      </c>
    </row>
    <row r="2154" spans="1:5" hidden="1" x14ac:dyDescent="0.3">
      <c r="A2154" t="s">
        <v>371</v>
      </c>
      <c r="B2154" t="s">
        <v>372</v>
      </c>
      <c r="C2154" s="1">
        <v>18537</v>
      </c>
      <c r="D2154" t="s">
        <v>22</v>
      </c>
      <c r="E2154">
        <v>-39.24</v>
      </c>
    </row>
    <row r="2155" spans="1:5" hidden="1" x14ac:dyDescent="0.3">
      <c r="A2155" t="s">
        <v>5</v>
      </c>
      <c r="B2155" t="s">
        <v>6</v>
      </c>
      <c r="C2155" s="1">
        <v>18445</v>
      </c>
      <c r="D2155" t="s">
        <v>21</v>
      </c>
      <c r="E2155">
        <v>10.31</v>
      </c>
    </row>
    <row r="2156" spans="1:5" hidden="1" x14ac:dyDescent="0.3">
      <c r="A2156" t="s">
        <v>337</v>
      </c>
      <c r="B2156" t="s">
        <v>338</v>
      </c>
      <c r="C2156" s="1">
        <v>18445</v>
      </c>
      <c r="D2156" t="s">
        <v>21</v>
      </c>
      <c r="E2156">
        <v>5.46</v>
      </c>
    </row>
    <row r="2157" spans="1:5" hidden="1" x14ac:dyDescent="0.3">
      <c r="A2157" t="s">
        <v>371</v>
      </c>
      <c r="B2157" t="s">
        <v>372</v>
      </c>
      <c r="C2157" s="1">
        <v>18445</v>
      </c>
      <c r="D2157" t="s">
        <v>21</v>
      </c>
      <c r="E2157">
        <v>-30.85</v>
      </c>
    </row>
    <row r="2158" spans="1:5" hidden="1" x14ac:dyDescent="0.3">
      <c r="A2158" t="s">
        <v>5</v>
      </c>
      <c r="B2158" t="s">
        <v>6</v>
      </c>
      <c r="C2158" s="1">
        <v>18354</v>
      </c>
      <c r="D2158" t="s">
        <v>20</v>
      </c>
      <c r="E2158">
        <v>7.3</v>
      </c>
    </row>
    <row r="2159" spans="1:5" hidden="1" x14ac:dyDescent="0.3">
      <c r="A2159" t="s">
        <v>337</v>
      </c>
      <c r="B2159" t="s">
        <v>338</v>
      </c>
      <c r="C2159" s="1">
        <v>18354</v>
      </c>
      <c r="D2159" t="s">
        <v>20</v>
      </c>
      <c r="E2159">
        <v>1.69</v>
      </c>
    </row>
    <row r="2160" spans="1:5" hidden="1" x14ac:dyDescent="0.3">
      <c r="A2160" t="s">
        <v>371</v>
      </c>
      <c r="B2160" t="s">
        <v>372</v>
      </c>
      <c r="C2160" s="1">
        <v>18354</v>
      </c>
      <c r="D2160" t="s">
        <v>20</v>
      </c>
      <c r="E2160">
        <v>-5.1100000000000003</v>
      </c>
    </row>
    <row r="2161" spans="1:5" hidden="1" x14ac:dyDescent="0.3">
      <c r="A2161" t="s">
        <v>5</v>
      </c>
      <c r="B2161" t="s">
        <v>6</v>
      </c>
      <c r="C2161" s="1">
        <v>18264</v>
      </c>
      <c r="D2161" t="s">
        <v>19</v>
      </c>
      <c r="E2161">
        <v>3.77</v>
      </c>
    </row>
    <row r="2162" spans="1:5" hidden="1" x14ac:dyDescent="0.3">
      <c r="A2162" t="s">
        <v>337</v>
      </c>
      <c r="B2162" t="s">
        <v>338</v>
      </c>
      <c r="C2162" s="1">
        <v>18264</v>
      </c>
      <c r="D2162" t="s">
        <v>19</v>
      </c>
      <c r="E2162">
        <v>-1.97</v>
      </c>
    </row>
    <row r="2163" spans="1:5" hidden="1" x14ac:dyDescent="0.3">
      <c r="A2163" t="s">
        <v>371</v>
      </c>
      <c r="B2163" t="s">
        <v>372</v>
      </c>
      <c r="C2163" s="1">
        <v>18264</v>
      </c>
      <c r="D2163" t="s">
        <v>19</v>
      </c>
      <c r="E2163">
        <v>37.130000000000003</v>
      </c>
    </row>
    <row r="2164" spans="1:5" hidden="1" x14ac:dyDescent="0.3">
      <c r="A2164" t="s">
        <v>5</v>
      </c>
      <c r="B2164" t="s">
        <v>6</v>
      </c>
      <c r="C2164" s="1">
        <v>18172</v>
      </c>
      <c r="D2164" t="s">
        <v>18</v>
      </c>
      <c r="E2164">
        <v>-1.53</v>
      </c>
    </row>
    <row r="2165" spans="1:5" hidden="1" x14ac:dyDescent="0.3">
      <c r="A2165" t="s">
        <v>337</v>
      </c>
      <c r="B2165" t="s">
        <v>338</v>
      </c>
      <c r="C2165" s="1">
        <v>18172</v>
      </c>
      <c r="D2165" t="s">
        <v>18</v>
      </c>
      <c r="E2165">
        <v>-4.25</v>
      </c>
    </row>
    <row r="2166" spans="1:5" hidden="1" x14ac:dyDescent="0.3">
      <c r="A2166" t="s">
        <v>371</v>
      </c>
      <c r="B2166" t="s">
        <v>372</v>
      </c>
      <c r="C2166" s="1">
        <v>18172</v>
      </c>
      <c r="D2166" t="s">
        <v>18</v>
      </c>
      <c r="E2166">
        <v>81.760000000000005</v>
      </c>
    </row>
    <row r="2167" spans="1:5" hidden="1" x14ac:dyDescent="0.3">
      <c r="A2167" t="s">
        <v>5</v>
      </c>
      <c r="B2167" t="s">
        <v>6</v>
      </c>
      <c r="C2167" s="1">
        <v>18080</v>
      </c>
      <c r="D2167" t="s">
        <v>17</v>
      </c>
      <c r="E2167">
        <v>-0.57999999999999996</v>
      </c>
    </row>
    <row r="2168" spans="1:5" hidden="1" x14ac:dyDescent="0.3">
      <c r="A2168" t="s">
        <v>337</v>
      </c>
      <c r="B2168" t="s">
        <v>338</v>
      </c>
      <c r="C2168" s="1">
        <v>18080</v>
      </c>
      <c r="D2168" t="s">
        <v>17</v>
      </c>
      <c r="E2168">
        <v>-3.46</v>
      </c>
    </row>
    <row r="2169" spans="1:5" hidden="1" x14ac:dyDescent="0.3">
      <c r="A2169" t="s">
        <v>371</v>
      </c>
      <c r="B2169" t="s">
        <v>372</v>
      </c>
      <c r="C2169" s="1">
        <v>18080</v>
      </c>
      <c r="D2169" t="s">
        <v>17</v>
      </c>
      <c r="E2169">
        <v>77.86</v>
      </c>
    </row>
    <row r="2170" spans="1:5" hidden="1" x14ac:dyDescent="0.3">
      <c r="A2170" t="s">
        <v>5</v>
      </c>
      <c r="B2170" t="s">
        <v>6</v>
      </c>
      <c r="C2170" s="1">
        <v>17989</v>
      </c>
      <c r="D2170" t="s">
        <v>16</v>
      </c>
      <c r="E2170">
        <v>-1.03</v>
      </c>
    </row>
    <row r="2171" spans="1:5" hidden="1" x14ac:dyDescent="0.3">
      <c r="A2171" t="s">
        <v>337</v>
      </c>
      <c r="B2171" t="s">
        <v>338</v>
      </c>
      <c r="C2171" s="1">
        <v>17989</v>
      </c>
      <c r="D2171" t="s">
        <v>16</v>
      </c>
      <c r="E2171">
        <v>-1.68</v>
      </c>
    </row>
    <row r="2172" spans="1:5" hidden="1" x14ac:dyDescent="0.3">
      <c r="A2172" t="s">
        <v>371</v>
      </c>
      <c r="B2172" t="s">
        <v>372</v>
      </c>
      <c r="C2172" s="1">
        <v>17989</v>
      </c>
      <c r="D2172" t="s">
        <v>16</v>
      </c>
      <c r="E2172">
        <v>59.99</v>
      </c>
    </row>
    <row r="2173" spans="1:5" hidden="1" x14ac:dyDescent="0.3">
      <c r="A2173" t="s">
        <v>5</v>
      </c>
      <c r="B2173" t="s">
        <v>6</v>
      </c>
      <c r="C2173" s="1">
        <v>17899</v>
      </c>
      <c r="D2173" t="s">
        <v>15</v>
      </c>
      <c r="E2173">
        <v>0.94</v>
      </c>
    </row>
    <row r="2174" spans="1:5" hidden="1" x14ac:dyDescent="0.3">
      <c r="A2174" t="s">
        <v>337</v>
      </c>
      <c r="B2174" t="s">
        <v>338</v>
      </c>
      <c r="C2174" s="1">
        <v>17899</v>
      </c>
      <c r="D2174" t="s">
        <v>15</v>
      </c>
      <c r="E2174">
        <v>-0.37</v>
      </c>
    </row>
    <row r="2175" spans="1:5" hidden="1" x14ac:dyDescent="0.3">
      <c r="A2175" t="s">
        <v>371</v>
      </c>
      <c r="B2175" t="s">
        <v>372</v>
      </c>
      <c r="C2175" s="1">
        <v>17899</v>
      </c>
      <c r="D2175" t="s">
        <v>15</v>
      </c>
      <c r="E2175">
        <v>25.02</v>
      </c>
    </row>
    <row r="2176" spans="1:5" hidden="1" x14ac:dyDescent="0.3">
      <c r="A2176" t="s">
        <v>5</v>
      </c>
      <c r="B2176" t="s">
        <v>6</v>
      </c>
      <c r="C2176" s="1">
        <v>17807</v>
      </c>
      <c r="D2176" t="s">
        <v>14</v>
      </c>
      <c r="E2176">
        <v>3.89</v>
      </c>
    </row>
    <row r="2177" spans="1:5" hidden="1" x14ac:dyDescent="0.3">
      <c r="A2177" t="s">
        <v>337</v>
      </c>
      <c r="B2177" t="s">
        <v>338</v>
      </c>
      <c r="C2177" s="1">
        <v>17807</v>
      </c>
      <c r="D2177" t="s">
        <v>14</v>
      </c>
      <c r="E2177">
        <v>1.49</v>
      </c>
    </row>
    <row r="2178" spans="1:5" hidden="1" x14ac:dyDescent="0.3">
      <c r="A2178" t="s">
        <v>371</v>
      </c>
      <c r="B2178" t="s">
        <v>372</v>
      </c>
      <c r="C2178" s="1">
        <v>17807</v>
      </c>
      <c r="D2178" t="s">
        <v>14</v>
      </c>
    </row>
    <row r="2179" spans="1:5" hidden="1" x14ac:dyDescent="0.3">
      <c r="A2179" t="s">
        <v>5</v>
      </c>
      <c r="B2179" t="s">
        <v>6</v>
      </c>
      <c r="C2179" s="1">
        <v>17715</v>
      </c>
      <c r="D2179" t="s">
        <v>13</v>
      </c>
      <c r="E2179">
        <v>5.4</v>
      </c>
    </row>
    <row r="2180" spans="1:5" hidden="1" x14ac:dyDescent="0.3">
      <c r="A2180" t="s">
        <v>337</v>
      </c>
      <c r="B2180" t="s">
        <v>338</v>
      </c>
      <c r="C2180" s="1">
        <v>17715</v>
      </c>
      <c r="D2180" t="s">
        <v>13</v>
      </c>
      <c r="E2180">
        <v>2.82</v>
      </c>
    </row>
    <row r="2181" spans="1:5" hidden="1" x14ac:dyDescent="0.3">
      <c r="A2181" t="s">
        <v>371</v>
      </c>
      <c r="B2181" t="s">
        <v>372</v>
      </c>
      <c r="C2181" s="1">
        <v>17715</v>
      </c>
      <c r="D2181" t="s">
        <v>13</v>
      </c>
    </row>
    <row r="2182" spans="1:5" hidden="1" x14ac:dyDescent="0.3">
      <c r="A2182" t="s">
        <v>5</v>
      </c>
      <c r="B2182" t="s">
        <v>6</v>
      </c>
      <c r="C2182" s="1">
        <v>17624</v>
      </c>
      <c r="D2182" t="s">
        <v>12</v>
      </c>
      <c r="E2182">
        <v>4.58</v>
      </c>
    </row>
    <row r="2183" spans="1:5" hidden="1" x14ac:dyDescent="0.3">
      <c r="A2183" t="s">
        <v>337</v>
      </c>
      <c r="B2183" t="s">
        <v>338</v>
      </c>
      <c r="C2183" s="1">
        <v>17624</v>
      </c>
      <c r="D2183" t="s">
        <v>12</v>
      </c>
      <c r="E2183">
        <v>2.4900000000000002</v>
      </c>
    </row>
    <row r="2184" spans="1:5" hidden="1" x14ac:dyDescent="0.3">
      <c r="A2184" t="s">
        <v>371</v>
      </c>
      <c r="B2184" t="s">
        <v>372</v>
      </c>
      <c r="C2184" s="1">
        <v>17624</v>
      </c>
      <c r="D2184" t="s">
        <v>12</v>
      </c>
    </row>
    <row r="2185" spans="1:5" hidden="1" x14ac:dyDescent="0.3">
      <c r="A2185" t="s">
        <v>5</v>
      </c>
      <c r="B2185" t="s">
        <v>6</v>
      </c>
      <c r="C2185" s="1">
        <v>17533</v>
      </c>
      <c r="D2185" t="s">
        <v>11</v>
      </c>
      <c r="E2185">
        <v>2.61</v>
      </c>
    </row>
    <row r="2186" spans="1:5" hidden="1" x14ac:dyDescent="0.3">
      <c r="A2186" t="s">
        <v>337</v>
      </c>
      <c r="B2186" t="s">
        <v>338</v>
      </c>
      <c r="C2186" s="1">
        <v>17533</v>
      </c>
      <c r="D2186" t="s">
        <v>11</v>
      </c>
      <c r="E2186">
        <v>2.4500000000000002</v>
      </c>
    </row>
    <row r="2187" spans="1:5" hidden="1" x14ac:dyDescent="0.3">
      <c r="A2187" t="s">
        <v>371</v>
      </c>
      <c r="B2187" t="s">
        <v>372</v>
      </c>
      <c r="C2187" s="1">
        <v>17533</v>
      </c>
      <c r="D2187" t="s">
        <v>11</v>
      </c>
    </row>
    <row r="2188" spans="1:5" hidden="1" x14ac:dyDescent="0.3">
      <c r="A2188" t="s">
        <v>5</v>
      </c>
      <c r="B2188" t="s">
        <v>6</v>
      </c>
      <c r="C2188" s="1">
        <v>17441</v>
      </c>
      <c r="D2188" t="s">
        <v>10</v>
      </c>
    </row>
    <row r="2189" spans="1:5" hidden="1" x14ac:dyDescent="0.3">
      <c r="A2189" t="s">
        <v>337</v>
      </c>
      <c r="B2189" t="s">
        <v>338</v>
      </c>
      <c r="C2189" s="1">
        <v>17441</v>
      </c>
      <c r="D2189" t="s">
        <v>10</v>
      </c>
      <c r="E2189">
        <v>2.78</v>
      </c>
    </row>
    <row r="2190" spans="1:5" hidden="1" x14ac:dyDescent="0.3">
      <c r="A2190" t="s">
        <v>5</v>
      </c>
      <c r="B2190" t="s">
        <v>6</v>
      </c>
      <c r="C2190" s="1">
        <v>17349</v>
      </c>
      <c r="D2190" t="s">
        <v>9</v>
      </c>
    </row>
    <row r="2191" spans="1:5" hidden="1" x14ac:dyDescent="0.3">
      <c r="A2191" t="s">
        <v>337</v>
      </c>
      <c r="B2191" t="s">
        <v>338</v>
      </c>
      <c r="C2191" s="1">
        <v>17349</v>
      </c>
      <c r="D2191" t="s">
        <v>9</v>
      </c>
      <c r="E2191">
        <v>3.29</v>
      </c>
    </row>
    <row r="2192" spans="1:5" hidden="1" x14ac:dyDescent="0.3">
      <c r="A2192" t="s">
        <v>5</v>
      </c>
      <c r="B2192" t="s">
        <v>6</v>
      </c>
      <c r="C2192" s="1">
        <v>17258</v>
      </c>
      <c r="D2192" t="s">
        <v>8</v>
      </c>
    </row>
    <row r="2193" spans="1:5" hidden="1" x14ac:dyDescent="0.3">
      <c r="A2193" t="s">
        <v>337</v>
      </c>
      <c r="B2193" t="s">
        <v>338</v>
      </c>
      <c r="C2193" s="1">
        <v>17258</v>
      </c>
      <c r="D2193" t="s">
        <v>8</v>
      </c>
      <c r="E2193">
        <v>5.6</v>
      </c>
    </row>
    <row r="2194" spans="1:5" hidden="1" x14ac:dyDescent="0.3">
      <c r="A2194" t="s">
        <v>5</v>
      </c>
      <c r="B2194" t="s">
        <v>6</v>
      </c>
      <c r="C2194" s="1">
        <v>17168</v>
      </c>
      <c r="D2194" t="s">
        <v>7</v>
      </c>
    </row>
    <row r="2195" spans="1:5" hidden="1" x14ac:dyDescent="0.3">
      <c r="A2195" t="s">
        <v>337</v>
      </c>
      <c r="B2195" t="s">
        <v>338</v>
      </c>
      <c r="C2195" s="1">
        <v>17168</v>
      </c>
      <c r="D2195" t="s">
        <v>7</v>
      </c>
      <c r="E2195">
        <v>9.58</v>
      </c>
    </row>
    <row r="2196" spans="1:5" hidden="1" x14ac:dyDescent="0.3">
      <c r="A2196" t="s">
        <v>337</v>
      </c>
      <c r="B2196" t="s">
        <v>338</v>
      </c>
      <c r="C2196" s="1">
        <v>17076</v>
      </c>
      <c r="D2196" t="s">
        <v>370</v>
      </c>
      <c r="E2196">
        <v>11.28</v>
      </c>
    </row>
    <row r="2197" spans="1:5" hidden="1" x14ac:dyDescent="0.3">
      <c r="A2197" t="s">
        <v>337</v>
      </c>
      <c r="B2197" t="s">
        <v>338</v>
      </c>
      <c r="C2197" s="1">
        <v>16984</v>
      </c>
      <c r="D2197" t="s">
        <v>369</v>
      </c>
      <c r="E2197">
        <v>6.56</v>
      </c>
    </row>
    <row r="2198" spans="1:5" hidden="1" x14ac:dyDescent="0.3">
      <c r="A2198" t="s">
        <v>337</v>
      </c>
      <c r="B2198" t="s">
        <v>338</v>
      </c>
      <c r="C2198" s="1">
        <v>16893</v>
      </c>
      <c r="D2198" t="s">
        <v>368</v>
      </c>
      <c r="E2198">
        <v>0.08</v>
      </c>
    </row>
    <row r="2199" spans="1:5" hidden="1" x14ac:dyDescent="0.3">
      <c r="A2199" t="s">
        <v>337</v>
      </c>
      <c r="B2199" t="s">
        <v>338</v>
      </c>
      <c r="C2199" s="1">
        <v>16803</v>
      </c>
      <c r="D2199" t="s">
        <v>367</v>
      </c>
      <c r="E2199">
        <v>-5.03</v>
      </c>
    </row>
    <row r="2200" spans="1:5" hidden="1" x14ac:dyDescent="0.3">
      <c r="A2200" t="s">
        <v>337</v>
      </c>
      <c r="B2200" t="s">
        <v>338</v>
      </c>
      <c r="C2200" s="1">
        <v>16711</v>
      </c>
      <c r="D2200" t="s">
        <v>366</v>
      </c>
      <c r="E2200">
        <v>-6.84</v>
      </c>
    </row>
    <row r="2201" spans="1:5" hidden="1" x14ac:dyDescent="0.3">
      <c r="A2201" t="s">
        <v>337</v>
      </c>
      <c r="B2201" t="s">
        <v>338</v>
      </c>
      <c r="C2201" s="1">
        <v>16619</v>
      </c>
      <c r="D2201" t="s">
        <v>365</v>
      </c>
      <c r="E2201">
        <v>-4.45</v>
      </c>
    </row>
    <row r="2202" spans="1:5" hidden="1" x14ac:dyDescent="0.3">
      <c r="A2202" t="s">
        <v>337</v>
      </c>
      <c r="B2202" t="s">
        <v>338</v>
      </c>
      <c r="C2202" s="1">
        <v>16528</v>
      </c>
      <c r="D2202" t="s">
        <v>364</v>
      </c>
      <c r="E2202">
        <v>-1.66</v>
      </c>
    </row>
    <row r="2203" spans="1:5" hidden="1" x14ac:dyDescent="0.3">
      <c r="A2203" t="s">
        <v>337</v>
      </c>
      <c r="B2203" t="s">
        <v>338</v>
      </c>
      <c r="C2203" s="1">
        <v>16438</v>
      </c>
      <c r="D2203" t="s">
        <v>363</v>
      </c>
      <c r="E2203">
        <v>-1.49</v>
      </c>
    </row>
    <row r="2204" spans="1:5" hidden="1" x14ac:dyDescent="0.3">
      <c r="A2204" t="s">
        <v>337</v>
      </c>
      <c r="B2204" t="s">
        <v>338</v>
      </c>
      <c r="C2204" s="1">
        <v>16346</v>
      </c>
      <c r="D2204" t="s">
        <v>362</v>
      </c>
      <c r="E2204">
        <v>-2.31</v>
      </c>
    </row>
    <row r="2205" spans="1:5" hidden="1" x14ac:dyDescent="0.3">
      <c r="A2205" t="s">
        <v>337</v>
      </c>
      <c r="B2205" t="s">
        <v>338</v>
      </c>
      <c r="C2205" s="1">
        <v>16254</v>
      </c>
      <c r="D2205" t="s">
        <v>361</v>
      </c>
      <c r="E2205">
        <v>-1.8</v>
      </c>
    </row>
    <row r="2206" spans="1:5" hidden="1" x14ac:dyDescent="0.3">
      <c r="A2206" t="s">
        <v>337</v>
      </c>
      <c r="B2206" t="s">
        <v>338</v>
      </c>
      <c r="C2206" s="1">
        <v>16163</v>
      </c>
      <c r="D2206" t="s">
        <v>360</v>
      </c>
      <c r="E2206">
        <v>-1.58</v>
      </c>
    </row>
    <row r="2207" spans="1:5" hidden="1" x14ac:dyDescent="0.3">
      <c r="A2207" t="s">
        <v>337</v>
      </c>
      <c r="B2207" t="s">
        <v>338</v>
      </c>
      <c r="C2207" s="1">
        <v>16072</v>
      </c>
      <c r="D2207" t="s">
        <v>359</v>
      </c>
      <c r="E2207">
        <v>0.28999999999999998</v>
      </c>
    </row>
    <row r="2208" spans="1:5" hidden="1" x14ac:dyDescent="0.3">
      <c r="A2208" t="s">
        <v>337</v>
      </c>
      <c r="B2208" t="s">
        <v>338</v>
      </c>
      <c r="C2208" s="1">
        <v>15980</v>
      </c>
      <c r="D2208" t="s">
        <v>358</v>
      </c>
      <c r="E2208">
        <v>2.5099999999999998</v>
      </c>
    </row>
    <row r="2209" spans="1:5" hidden="1" x14ac:dyDescent="0.3">
      <c r="A2209" t="s">
        <v>337</v>
      </c>
      <c r="B2209" t="s">
        <v>338</v>
      </c>
      <c r="C2209" s="1">
        <v>15888</v>
      </c>
      <c r="D2209" t="s">
        <v>357</v>
      </c>
      <c r="E2209">
        <v>4.09</v>
      </c>
    </row>
    <row r="2210" spans="1:5" hidden="1" x14ac:dyDescent="0.3">
      <c r="A2210" t="s">
        <v>337</v>
      </c>
      <c r="B2210" t="s">
        <v>338</v>
      </c>
      <c r="C2210" s="1">
        <v>15797</v>
      </c>
      <c r="D2210" t="s">
        <v>356</v>
      </c>
      <c r="E2210">
        <v>7.45</v>
      </c>
    </row>
    <row r="2211" spans="1:5" hidden="1" x14ac:dyDescent="0.3">
      <c r="A2211" t="s">
        <v>337</v>
      </c>
      <c r="B2211" t="s">
        <v>338</v>
      </c>
      <c r="C2211" s="1">
        <v>15707</v>
      </c>
      <c r="D2211" t="s">
        <v>355</v>
      </c>
      <c r="E2211">
        <v>9.7799999999999994</v>
      </c>
    </row>
    <row r="2212" spans="1:5" hidden="1" x14ac:dyDescent="0.3">
      <c r="A2212" t="s">
        <v>337</v>
      </c>
      <c r="B2212" t="s">
        <v>338</v>
      </c>
      <c r="C2212" s="1">
        <v>15615</v>
      </c>
      <c r="D2212" t="s">
        <v>354</v>
      </c>
      <c r="E2212">
        <v>9.67</v>
      </c>
    </row>
    <row r="2213" spans="1:5" hidden="1" x14ac:dyDescent="0.3">
      <c r="A2213" t="s">
        <v>337</v>
      </c>
      <c r="B2213" t="s">
        <v>338</v>
      </c>
      <c r="C2213" s="1">
        <v>15523</v>
      </c>
      <c r="D2213" t="s">
        <v>353</v>
      </c>
      <c r="E2213">
        <v>9.07</v>
      </c>
    </row>
    <row r="2214" spans="1:5" hidden="1" x14ac:dyDescent="0.3">
      <c r="A2214" t="s">
        <v>337</v>
      </c>
      <c r="B2214" t="s">
        <v>338</v>
      </c>
      <c r="C2214" s="1">
        <v>15432</v>
      </c>
      <c r="D2214" t="s">
        <v>352</v>
      </c>
      <c r="E2214">
        <v>10.02</v>
      </c>
    </row>
    <row r="2215" spans="1:5" hidden="1" x14ac:dyDescent="0.3">
      <c r="A2215" t="s">
        <v>337</v>
      </c>
      <c r="B2215" t="s">
        <v>338</v>
      </c>
      <c r="C2215" s="1">
        <v>15342</v>
      </c>
      <c r="D2215" t="s">
        <v>351</v>
      </c>
      <c r="E2215">
        <v>10.9</v>
      </c>
    </row>
    <row r="2216" spans="1:5" hidden="1" x14ac:dyDescent="0.3">
      <c r="A2216" t="s">
        <v>337</v>
      </c>
      <c r="B2216" t="s">
        <v>338</v>
      </c>
      <c r="C2216" s="1">
        <v>15250</v>
      </c>
      <c r="D2216" t="s">
        <v>350</v>
      </c>
      <c r="E2216">
        <v>12.82</v>
      </c>
    </row>
    <row r="2217" spans="1:5" hidden="1" x14ac:dyDescent="0.3">
      <c r="A2217" t="s">
        <v>337</v>
      </c>
      <c r="B2217" t="s">
        <v>338</v>
      </c>
      <c r="C2217" s="1">
        <v>15158</v>
      </c>
      <c r="D2217" t="s">
        <v>349</v>
      </c>
      <c r="E2217">
        <v>15.87</v>
      </c>
    </row>
    <row r="2218" spans="1:5" hidden="1" x14ac:dyDescent="0.3">
      <c r="A2218" t="s">
        <v>337</v>
      </c>
      <c r="B2218" t="s">
        <v>338</v>
      </c>
      <c r="C2218" s="1">
        <v>15067</v>
      </c>
      <c r="D2218" t="s">
        <v>348</v>
      </c>
      <c r="E2218">
        <v>13.34</v>
      </c>
    </row>
    <row r="2219" spans="1:5" hidden="1" x14ac:dyDescent="0.3">
      <c r="A2219" t="s">
        <v>337</v>
      </c>
      <c r="B2219" t="s">
        <v>338</v>
      </c>
      <c r="C2219" s="1">
        <v>14977</v>
      </c>
      <c r="D2219" t="s">
        <v>347</v>
      </c>
      <c r="E2219">
        <v>9.75</v>
      </c>
    </row>
    <row r="2220" spans="1:5" hidden="1" x14ac:dyDescent="0.3">
      <c r="A2220" t="s">
        <v>337</v>
      </c>
      <c r="B2220" t="s">
        <v>338</v>
      </c>
      <c r="C2220" s="1">
        <v>14885</v>
      </c>
      <c r="D2220" t="s">
        <v>346</v>
      </c>
      <c r="E2220">
        <v>7.08</v>
      </c>
    </row>
    <row r="2221" spans="1:5" hidden="1" x14ac:dyDescent="0.3">
      <c r="A2221" t="s">
        <v>337</v>
      </c>
      <c r="B2221" t="s">
        <v>338</v>
      </c>
      <c r="C2221" s="1">
        <v>14793</v>
      </c>
      <c r="D2221" t="s">
        <v>345</v>
      </c>
      <c r="E2221">
        <v>5.42</v>
      </c>
    </row>
    <row r="2222" spans="1:5" hidden="1" x14ac:dyDescent="0.3">
      <c r="A2222" t="s">
        <v>337</v>
      </c>
      <c r="B2222" t="s">
        <v>338</v>
      </c>
      <c r="C2222" s="1">
        <v>14702</v>
      </c>
      <c r="D2222" t="s">
        <v>344</v>
      </c>
      <c r="E2222">
        <v>5.13</v>
      </c>
    </row>
    <row r="2223" spans="1:5" hidden="1" x14ac:dyDescent="0.3">
      <c r="A2223" t="s">
        <v>337</v>
      </c>
      <c r="B2223" t="s">
        <v>338</v>
      </c>
      <c r="C2223" s="1">
        <v>14611</v>
      </c>
      <c r="D2223" t="s">
        <v>343</v>
      </c>
      <c r="E2223">
        <v>5.36</v>
      </c>
    </row>
    <row r="2224" spans="1:5" hidden="1" x14ac:dyDescent="0.3">
      <c r="A2224" t="s">
        <v>337</v>
      </c>
      <c r="B2224" t="s">
        <v>338</v>
      </c>
      <c r="C2224" s="1">
        <v>14519</v>
      </c>
      <c r="D2224" t="s">
        <v>342</v>
      </c>
    </row>
    <row r="2225" spans="1:4" hidden="1" x14ac:dyDescent="0.3">
      <c r="A2225" t="s">
        <v>337</v>
      </c>
      <c r="B2225" t="s">
        <v>338</v>
      </c>
      <c r="C2225" s="1">
        <v>14427</v>
      </c>
      <c r="D2225" t="s">
        <v>341</v>
      </c>
    </row>
    <row r="2226" spans="1:4" hidden="1" x14ac:dyDescent="0.3">
      <c r="A2226" t="s">
        <v>337</v>
      </c>
      <c r="B2226" t="s">
        <v>338</v>
      </c>
      <c r="C2226" s="1">
        <v>14336</v>
      </c>
      <c r="D2226" t="s">
        <v>340</v>
      </c>
    </row>
    <row r="2227" spans="1:4" hidden="1" x14ac:dyDescent="0.3">
      <c r="A2227" t="s">
        <v>337</v>
      </c>
      <c r="B2227" t="s">
        <v>338</v>
      </c>
      <c r="C2227" s="1">
        <v>14246</v>
      </c>
      <c r="D2227" t="s">
        <v>339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8A111-2296-4C14-88F5-D45E31E2AED4}">
  <dimension ref="A1:E351"/>
  <sheetViews>
    <sheetView tabSelected="1" workbookViewId="0">
      <selection activeCell="H8" sqref="H8"/>
    </sheetView>
  </sheetViews>
  <sheetFormatPr defaultRowHeight="14.4" x14ac:dyDescent="0.3"/>
  <cols>
    <col min="1" max="1" width="14" bestFit="1" customWidth="1"/>
    <col min="2" max="2" width="14.33203125" bestFit="1" customWidth="1"/>
    <col min="3" max="3" width="16.88671875" bestFit="1" customWidth="1"/>
    <col min="4" max="4" width="15.6640625" bestFit="1" customWidth="1"/>
    <col min="5" max="5" width="13.33203125" bestFit="1" customWidth="1"/>
  </cols>
  <sheetData>
    <row r="1" spans="1:5" x14ac:dyDescent="0.3">
      <c r="A1" t="s">
        <v>2</v>
      </c>
      <c r="B1" t="s">
        <v>3</v>
      </c>
      <c r="C1" t="s">
        <v>373</v>
      </c>
      <c r="D1" t="s">
        <v>374</v>
      </c>
      <c r="E1" t="s">
        <v>416</v>
      </c>
    </row>
    <row r="2" spans="1:5" x14ac:dyDescent="0.3">
      <c r="A2" s="1">
        <v>46113</v>
      </c>
      <c r="B2" t="s">
        <v>324</v>
      </c>
      <c r="C2">
        <v>50</v>
      </c>
      <c r="D2">
        <v>9</v>
      </c>
      <c r="E2" t="str" cm="1">
        <f t="array" ref="E2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3" spans="1:5" x14ac:dyDescent="0.3">
      <c r="A3" s="1">
        <v>46023</v>
      </c>
      <c r="B3" t="s">
        <v>323</v>
      </c>
      <c r="C3">
        <v>40</v>
      </c>
      <c r="D3">
        <v>9</v>
      </c>
      <c r="E3" t="str" cm="1">
        <f t="array" ref="E3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4" spans="1:5" x14ac:dyDescent="0.3">
      <c r="A4" s="1">
        <v>45931</v>
      </c>
      <c r="B4" t="s">
        <v>322</v>
      </c>
      <c r="C4">
        <v>40</v>
      </c>
      <c r="D4">
        <v>7</v>
      </c>
      <c r="E4" t="str" cm="1">
        <f t="array" ref="E4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5" spans="1:5" x14ac:dyDescent="0.3">
      <c r="A5" s="1">
        <v>45839</v>
      </c>
      <c r="B5" t="s">
        <v>321</v>
      </c>
      <c r="C5">
        <v>40</v>
      </c>
      <c r="D5">
        <v>9</v>
      </c>
      <c r="E5" t="str" cm="1">
        <f t="array" ref="E5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6" spans="1:5" x14ac:dyDescent="0.3">
      <c r="A6" s="1">
        <v>45748</v>
      </c>
      <c r="B6" t="s">
        <v>320</v>
      </c>
      <c r="C6">
        <v>40</v>
      </c>
      <c r="D6">
        <v>9</v>
      </c>
      <c r="E6" t="str" cm="1">
        <f t="array" ref="E6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7" spans="1:5" x14ac:dyDescent="0.3">
      <c r="A7" s="1">
        <v>45658</v>
      </c>
      <c r="B7" t="s">
        <v>319</v>
      </c>
      <c r="C7">
        <v>50</v>
      </c>
      <c r="D7">
        <v>9</v>
      </c>
      <c r="E7" t="str" cm="1">
        <f t="array" ref="E7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8" spans="1:5" x14ac:dyDescent="0.3">
      <c r="A8" s="1">
        <v>45566</v>
      </c>
      <c r="B8" t="s">
        <v>318</v>
      </c>
      <c r="C8">
        <v>65</v>
      </c>
      <c r="D8">
        <v>9</v>
      </c>
      <c r="E8" t="str" cm="1">
        <f t="array" ref="E8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9" spans="1:5" x14ac:dyDescent="0.3">
      <c r="A9" s="1">
        <v>45474</v>
      </c>
      <c r="B9" t="s">
        <v>317</v>
      </c>
      <c r="C9">
        <v>55</v>
      </c>
      <c r="D9">
        <v>9</v>
      </c>
      <c r="E9" t="str" cm="1">
        <f t="array" ref="E9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0" spans="1:5" x14ac:dyDescent="0.3">
      <c r="A10" s="1">
        <v>45383</v>
      </c>
      <c r="B10" t="s">
        <v>316</v>
      </c>
      <c r="C10">
        <v>70</v>
      </c>
      <c r="D10">
        <v>9</v>
      </c>
      <c r="E10" t="str" cm="1">
        <f t="array" ref="E10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11" spans="1:5" x14ac:dyDescent="0.3">
      <c r="A11" s="1">
        <v>45292</v>
      </c>
      <c r="B11" t="s">
        <v>315</v>
      </c>
      <c r="C11">
        <v>70</v>
      </c>
      <c r="D11">
        <v>9</v>
      </c>
      <c r="E11" t="str" cm="1">
        <f t="array" ref="E11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12" spans="1:5" x14ac:dyDescent="0.3">
      <c r="A12" s="1">
        <v>45200</v>
      </c>
      <c r="B12" t="s">
        <v>314</v>
      </c>
      <c r="C12">
        <v>60</v>
      </c>
      <c r="D12">
        <v>9</v>
      </c>
      <c r="E12" t="str" cm="1">
        <f t="array" ref="E12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3" spans="1:5" x14ac:dyDescent="0.3">
      <c r="A13" s="1">
        <v>45108</v>
      </c>
      <c r="B13" t="s">
        <v>313</v>
      </c>
      <c r="C13">
        <v>60</v>
      </c>
      <c r="D13">
        <v>9</v>
      </c>
      <c r="E13" t="str" cm="1">
        <f t="array" ref="E13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4" spans="1:5" x14ac:dyDescent="0.3">
      <c r="A14" s="1">
        <v>45017</v>
      </c>
      <c r="B14" t="s">
        <v>312</v>
      </c>
      <c r="C14">
        <v>70</v>
      </c>
      <c r="D14">
        <v>9</v>
      </c>
      <c r="E14" t="str" cm="1">
        <f t="array" ref="E14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15" spans="1:5" x14ac:dyDescent="0.3">
      <c r="A15" s="1">
        <v>44927</v>
      </c>
      <c r="B15" t="s">
        <v>311</v>
      </c>
      <c r="C15">
        <v>70</v>
      </c>
      <c r="D15">
        <v>9</v>
      </c>
      <c r="E15" t="str" cm="1">
        <f t="array" ref="E15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16" spans="1:5" x14ac:dyDescent="0.3">
      <c r="A16" s="1">
        <v>44835</v>
      </c>
      <c r="B16" t="s">
        <v>310</v>
      </c>
      <c r="C16">
        <v>55</v>
      </c>
      <c r="D16">
        <v>9</v>
      </c>
      <c r="E16" t="str" cm="1">
        <f t="array" ref="E16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7" spans="1:5" x14ac:dyDescent="0.3">
      <c r="A17" s="1">
        <v>44743</v>
      </c>
      <c r="B17" t="s">
        <v>309</v>
      </c>
      <c r="C17">
        <v>55</v>
      </c>
      <c r="D17">
        <v>9</v>
      </c>
      <c r="E17" t="str" cm="1">
        <f t="array" ref="E17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8" spans="1:5" x14ac:dyDescent="0.3">
      <c r="A18" s="1">
        <v>44652</v>
      </c>
      <c r="B18" t="s">
        <v>308</v>
      </c>
      <c r="C18">
        <v>65</v>
      </c>
      <c r="D18">
        <v>9</v>
      </c>
      <c r="E18" t="str" cm="1">
        <f t="array" ref="E18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19" spans="1:5" x14ac:dyDescent="0.3">
      <c r="A19" s="1">
        <v>44562</v>
      </c>
      <c r="B19" t="s">
        <v>307</v>
      </c>
      <c r="C19">
        <v>65</v>
      </c>
      <c r="D19">
        <v>9</v>
      </c>
      <c r="E19" t="str" cm="1">
        <f t="array" ref="E19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20" spans="1:5" x14ac:dyDescent="0.3">
      <c r="A20" s="1">
        <v>44470</v>
      </c>
      <c r="B20" t="s">
        <v>306</v>
      </c>
      <c r="C20">
        <v>60</v>
      </c>
      <c r="D20">
        <v>9</v>
      </c>
      <c r="E20" t="str" cm="1">
        <f t="array" ref="E20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1" spans="1:5" x14ac:dyDescent="0.3">
      <c r="A21" s="1">
        <v>44378</v>
      </c>
      <c r="B21" t="s">
        <v>305</v>
      </c>
      <c r="C21">
        <v>60</v>
      </c>
      <c r="D21">
        <v>9</v>
      </c>
      <c r="E21" t="str" cm="1">
        <f t="array" ref="E21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2" spans="1:5" x14ac:dyDescent="0.3">
      <c r="A22" s="1">
        <v>44287</v>
      </c>
      <c r="B22" t="s">
        <v>304</v>
      </c>
      <c r="C22">
        <v>80</v>
      </c>
      <c r="D22">
        <v>9</v>
      </c>
      <c r="E22" t="str" cm="1">
        <f t="array" ref="E22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23" spans="1:5" x14ac:dyDescent="0.3">
      <c r="A23" s="1">
        <v>44197</v>
      </c>
      <c r="B23" t="s">
        <v>303</v>
      </c>
      <c r="C23">
        <v>35</v>
      </c>
      <c r="D23">
        <v>9</v>
      </c>
      <c r="E23" t="str" cm="1">
        <f t="array" ref="E23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4" spans="1:5" x14ac:dyDescent="0.3">
      <c r="A24" s="1">
        <v>44105</v>
      </c>
      <c r="B24" t="s">
        <v>302</v>
      </c>
      <c r="C24">
        <v>20</v>
      </c>
      <c r="D24">
        <v>9</v>
      </c>
      <c r="E24" t="str" cm="1">
        <f t="array" ref="E24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5" spans="1:5" x14ac:dyDescent="0.3">
      <c r="A25" s="1">
        <v>44013</v>
      </c>
      <c r="B25" t="s">
        <v>301</v>
      </c>
      <c r="C25">
        <v>20</v>
      </c>
      <c r="D25">
        <v>9</v>
      </c>
      <c r="E25" t="str" cm="1">
        <f t="array" ref="E25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6" spans="1:5" x14ac:dyDescent="0.3">
      <c r="A26" s="1">
        <v>43922</v>
      </c>
      <c r="B26" t="s">
        <v>300</v>
      </c>
      <c r="C26">
        <v>10</v>
      </c>
      <c r="D26">
        <v>9</v>
      </c>
      <c r="E26" t="str" cm="1">
        <f t="array" ref="E26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7" spans="1:5" x14ac:dyDescent="0.3">
      <c r="A27" s="1">
        <v>43831</v>
      </c>
      <c r="B27" t="s">
        <v>299</v>
      </c>
      <c r="C27">
        <v>65</v>
      </c>
      <c r="D27">
        <v>9</v>
      </c>
      <c r="E27" t="str" cm="1">
        <f t="array" ref="E27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28" spans="1:5" x14ac:dyDescent="0.3">
      <c r="A28" s="1">
        <v>43739</v>
      </c>
      <c r="B28" t="s">
        <v>298</v>
      </c>
      <c r="C28">
        <v>50</v>
      </c>
      <c r="D28">
        <v>9</v>
      </c>
      <c r="E28" t="str" cm="1">
        <f t="array" ref="E28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9" spans="1:5" x14ac:dyDescent="0.3">
      <c r="A29" s="1">
        <v>43647</v>
      </c>
      <c r="B29" t="s">
        <v>297</v>
      </c>
      <c r="C29">
        <v>55</v>
      </c>
      <c r="D29">
        <v>9</v>
      </c>
      <c r="E29" t="str" cm="1">
        <f t="array" ref="E29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30" spans="1:5" x14ac:dyDescent="0.3">
      <c r="A30" s="1">
        <v>43556</v>
      </c>
      <c r="B30" t="s">
        <v>296</v>
      </c>
      <c r="C30">
        <v>80</v>
      </c>
      <c r="D30">
        <v>9</v>
      </c>
      <c r="E30" t="str" cm="1">
        <f t="array" ref="E30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31" spans="1:5" x14ac:dyDescent="0.3">
      <c r="A31" s="1">
        <v>43466</v>
      </c>
      <c r="B31" t="s">
        <v>295</v>
      </c>
      <c r="C31">
        <v>65</v>
      </c>
      <c r="D31">
        <v>9</v>
      </c>
      <c r="E31" t="str" cm="1">
        <f t="array" ref="E31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32" spans="1:5" x14ac:dyDescent="0.3">
      <c r="A32" s="1">
        <v>43374</v>
      </c>
      <c r="B32" t="s">
        <v>294</v>
      </c>
      <c r="C32">
        <v>65</v>
      </c>
      <c r="D32">
        <v>9</v>
      </c>
      <c r="E32" t="str" cm="1">
        <f t="array" ref="E32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33" spans="1:5" x14ac:dyDescent="0.3">
      <c r="A33" s="1">
        <v>43282</v>
      </c>
      <c r="B33" t="s">
        <v>293</v>
      </c>
      <c r="C33">
        <v>80</v>
      </c>
      <c r="D33">
        <v>9</v>
      </c>
      <c r="E33" t="str" cm="1">
        <f t="array" ref="E33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34" spans="1:5" x14ac:dyDescent="0.3">
      <c r="A34" s="1">
        <v>43191</v>
      </c>
      <c r="B34" t="s">
        <v>292</v>
      </c>
      <c r="C34">
        <v>80</v>
      </c>
      <c r="D34">
        <v>9</v>
      </c>
      <c r="E34" t="str" cm="1">
        <f t="array" ref="E34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35" spans="1:5" x14ac:dyDescent="0.3">
      <c r="A35" s="1">
        <v>43101</v>
      </c>
      <c r="B35" t="s">
        <v>291</v>
      </c>
      <c r="C35">
        <v>80</v>
      </c>
      <c r="D35">
        <v>9</v>
      </c>
      <c r="E35" t="str" cm="1">
        <f t="array" ref="E35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36" spans="1:5" x14ac:dyDescent="0.3">
      <c r="A36" s="1">
        <v>43009</v>
      </c>
      <c r="B36" t="s">
        <v>290</v>
      </c>
      <c r="C36">
        <v>80</v>
      </c>
      <c r="D36">
        <v>9</v>
      </c>
      <c r="E36" t="str" cm="1">
        <f t="array" ref="E36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37" spans="1:5" x14ac:dyDescent="0.3">
      <c r="A37" s="1">
        <v>42917</v>
      </c>
      <c r="B37" t="s">
        <v>289</v>
      </c>
      <c r="C37">
        <v>80</v>
      </c>
      <c r="D37">
        <v>9</v>
      </c>
      <c r="E37" t="str" cm="1">
        <f t="array" ref="E37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38" spans="1:5" x14ac:dyDescent="0.3">
      <c r="A38" s="1">
        <v>42826</v>
      </c>
      <c r="B38" t="s">
        <v>288</v>
      </c>
      <c r="C38">
        <v>80</v>
      </c>
      <c r="D38">
        <v>9</v>
      </c>
      <c r="E38" t="str" cm="1">
        <f t="array" ref="E38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39" spans="1:5" x14ac:dyDescent="0.3">
      <c r="A39" s="1">
        <v>42736</v>
      </c>
      <c r="B39" t="s">
        <v>287</v>
      </c>
      <c r="C39">
        <v>80</v>
      </c>
      <c r="D39">
        <v>9</v>
      </c>
      <c r="E39" t="str" cm="1">
        <f t="array" ref="E39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40" spans="1:5" x14ac:dyDescent="0.3">
      <c r="A40" s="1">
        <v>42644</v>
      </c>
      <c r="B40" t="s">
        <v>286</v>
      </c>
      <c r="C40">
        <v>80</v>
      </c>
      <c r="D40">
        <v>9</v>
      </c>
      <c r="E40" t="str" cm="1">
        <f t="array" ref="E40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41" spans="1:5" x14ac:dyDescent="0.3">
      <c r="A41" s="1">
        <v>42552</v>
      </c>
      <c r="B41" t="s">
        <v>285</v>
      </c>
      <c r="C41">
        <v>55</v>
      </c>
      <c r="D41">
        <v>9</v>
      </c>
      <c r="E41" t="str" cm="1">
        <f t="array" ref="E41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42" spans="1:5" x14ac:dyDescent="0.3">
      <c r="A42" s="1">
        <v>42461</v>
      </c>
      <c r="B42" t="s">
        <v>284</v>
      </c>
      <c r="C42">
        <v>55</v>
      </c>
      <c r="D42">
        <v>9</v>
      </c>
      <c r="E42" t="str" cm="1">
        <f t="array" ref="E42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43" spans="1:5" x14ac:dyDescent="0.3">
      <c r="A43" s="1">
        <v>42370</v>
      </c>
      <c r="B43" t="s">
        <v>283</v>
      </c>
      <c r="C43">
        <v>55</v>
      </c>
      <c r="D43">
        <v>9</v>
      </c>
      <c r="E43" t="str" cm="1">
        <f t="array" ref="E43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44" spans="1:5" x14ac:dyDescent="0.3">
      <c r="A44" s="1">
        <v>42278</v>
      </c>
      <c r="B44" t="s">
        <v>282</v>
      </c>
      <c r="C44">
        <v>70</v>
      </c>
      <c r="D44">
        <v>9</v>
      </c>
      <c r="E44" t="str" cm="1">
        <f t="array" ref="E44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45" spans="1:5" x14ac:dyDescent="0.3">
      <c r="A45" s="1">
        <v>42186</v>
      </c>
      <c r="B45" t="s">
        <v>281</v>
      </c>
      <c r="C45">
        <v>80</v>
      </c>
      <c r="D45">
        <v>9</v>
      </c>
      <c r="E45" t="str" cm="1">
        <f t="array" ref="E45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46" spans="1:5" x14ac:dyDescent="0.3">
      <c r="A46" s="1">
        <v>42095</v>
      </c>
      <c r="B46" t="s">
        <v>280</v>
      </c>
      <c r="C46">
        <v>70</v>
      </c>
      <c r="D46">
        <v>9</v>
      </c>
      <c r="E46" t="str" cm="1">
        <f t="array" ref="E46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47" spans="1:5" x14ac:dyDescent="0.3">
      <c r="A47" s="1">
        <v>42005</v>
      </c>
      <c r="B47" t="s">
        <v>279</v>
      </c>
      <c r="C47">
        <v>80</v>
      </c>
      <c r="D47">
        <v>9</v>
      </c>
      <c r="E47" t="str" cm="1">
        <f t="array" ref="E47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48" spans="1:5" x14ac:dyDescent="0.3">
      <c r="A48" s="1">
        <v>41913</v>
      </c>
      <c r="B48" t="s">
        <v>278</v>
      </c>
      <c r="C48">
        <v>80</v>
      </c>
      <c r="D48">
        <v>9</v>
      </c>
      <c r="E48" t="str" cm="1">
        <f t="array" ref="E48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49" spans="1:5" x14ac:dyDescent="0.3">
      <c r="A49" s="1">
        <v>41821</v>
      </c>
      <c r="B49" t="s">
        <v>277</v>
      </c>
      <c r="C49">
        <v>80</v>
      </c>
      <c r="D49">
        <v>9</v>
      </c>
      <c r="E49" t="str" cm="1">
        <f t="array" ref="E49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50" spans="1:5" x14ac:dyDescent="0.3">
      <c r="A50" s="1">
        <v>41730</v>
      </c>
      <c r="B50" t="s">
        <v>276</v>
      </c>
      <c r="C50">
        <v>75</v>
      </c>
      <c r="D50">
        <v>9</v>
      </c>
      <c r="E50" t="str" cm="1">
        <f t="array" ref="E50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51" spans="1:5" x14ac:dyDescent="0.3">
      <c r="A51" s="1">
        <v>41640</v>
      </c>
      <c r="B51" t="s">
        <v>275</v>
      </c>
      <c r="C51">
        <v>75</v>
      </c>
      <c r="D51">
        <v>9</v>
      </c>
      <c r="E51" t="str" cm="1">
        <f t="array" ref="E51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52" spans="1:5" x14ac:dyDescent="0.3">
      <c r="A52" s="1">
        <v>41548</v>
      </c>
      <c r="B52" t="s">
        <v>274</v>
      </c>
      <c r="C52">
        <v>50</v>
      </c>
      <c r="D52">
        <v>9</v>
      </c>
      <c r="E52" t="str" cm="1">
        <f t="array" ref="E52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53" spans="1:5" x14ac:dyDescent="0.3">
      <c r="A53" s="1">
        <v>41456</v>
      </c>
      <c r="B53" t="s">
        <v>273</v>
      </c>
      <c r="C53">
        <v>65</v>
      </c>
      <c r="D53">
        <v>9</v>
      </c>
      <c r="E53" t="str" cm="1">
        <f t="array" ref="E53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54" spans="1:5" x14ac:dyDescent="0.3">
      <c r="A54" s="1">
        <v>41365</v>
      </c>
      <c r="B54" t="s">
        <v>272</v>
      </c>
      <c r="C54">
        <v>65</v>
      </c>
      <c r="D54">
        <v>9</v>
      </c>
      <c r="E54" t="str" cm="1">
        <f t="array" ref="E54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55" spans="1:5" x14ac:dyDescent="0.3">
      <c r="A55" s="1">
        <v>41275</v>
      </c>
      <c r="B55" t="s">
        <v>271</v>
      </c>
      <c r="C55">
        <v>70</v>
      </c>
      <c r="D55">
        <v>9</v>
      </c>
      <c r="E55" t="str" cm="1">
        <f t="array" ref="E55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56" spans="1:5" x14ac:dyDescent="0.3">
      <c r="A56" s="1">
        <v>41183</v>
      </c>
      <c r="B56" t="s">
        <v>270</v>
      </c>
      <c r="C56">
        <v>70</v>
      </c>
      <c r="D56">
        <v>9</v>
      </c>
      <c r="E56" t="str" cm="1">
        <f t="array" ref="E56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57" spans="1:5" x14ac:dyDescent="0.3">
      <c r="A57" s="1">
        <v>41091</v>
      </c>
      <c r="B57" t="s">
        <v>269</v>
      </c>
      <c r="C57">
        <v>70</v>
      </c>
      <c r="D57">
        <v>9</v>
      </c>
      <c r="E57" t="str" cm="1">
        <f t="array" ref="E57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58" spans="1:5" x14ac:dyDescent="0.3">
      <c r="A58" s="1">
        <v>41000</v>
      </c>
      <c r="B58" t="s">
        <v>268</v>
      </c>
      <c r="C58">
        <v>70</v>
      </c>
      <c r="D58">
        <v>9</v>
      </c>
      <c r="E58" t="str" cm="1">
        <f t="array" ref="E58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59" spans="1:5" x14ac:dyDescent="0.3">
      <c r="A59" s="1">
        <v>40909</v>
      </c>
      <c r="B59" t="s">
        <v>267</v>
      </c>
      <c r="C59">
        <v>75</v>
      </c>
      <c r="D59">
        <v>9</v>
      </c>
      <c r="E59" t="str" cm="1">
        <f t="array" ref="E59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60" spans="1:5" x14ac:dyDescent="0.3">
      <c r="A60" s="1">
        <v>40817</v>
      </c>
      <c r="B60" t="s">
        <v>266</v>
      </c>
      <c r="C60">
        <v>60</v>
      </c>
      <c r="D60">
        <v>9</v>
      </c>
      <c r="E60" t="str" cm="1">
        <f t="array" ref="E60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61" spans="1:5" x14ac:dyDescent="0.3">
      <c r="A61" s="1">
        <v>40725</v>
      </c>
      <c r="B61" t="s">
        <v>265</v>
      </c>
      <c r="C61">
        <v>60</v>
      </c>
      <c r="D61">
        <v>9</v>
      </c>
      <c r="E61" t="str" cm="1">
        <f t="array" ref="E61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62" spans="1:5" x14ac:dyDescent="0.3">
      <c r="A62" s="1">
        <v>40634</v>
      </c>
      <c r="B62" t="s">
        <v>264</v>
      </c>
      <c r="C62">
        <v>60</v>
      </c>
      <c r="D62">
        <v>9</v>
      </c>
      <c r="E62" t="str" cm="1">
        <f t="array" ref="E62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63" spans="1:5" x14ac:dyDescent="0.3">
      <c r="A63" s="1">
        <v>40544</v>
      </c>
      <c r="B63" t="s">
        <v>263</v>
      </c>
      <c r="C63">
        <v>65</v>
      </c>
      <c r="D63">
        <v>9</v>
      </c>
      <c r="E63" t="str" cm="1">
        <f t="array" ref="E63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64" spans="1:5" x14ac:dyDescent="0.3">
      <c r="A64" s="1">
        <v>40452</v>
      </c>
      <c r="B64" t="s">
        <v>262</v>
      </c>
      <c r="C64">
        <v>80</v>
      </c>
      <c r="D64">
        <v>9</v>
      </c>
      <c r="E64" t="str" cm="1">
        <f t="array" ref="E64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65" spans="1:5" x14ac:dyDescent="0.3">
      <c r="A65" s="1">
        <v>40360</v>
      </c>
      <c r="B65" t="s">
        <v>261</v>
      </c>
      <c r="C65">
        <v>50</v>
      </c>
      <c r="D65">
        <v>9</v>
      </c>
      <c r="E65" t="str" cm="1">
        <f t="array" ref="E65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66" spans="1:5" x14ac:dyDescent="0.3">
      <c r="A66" s="1">
        <v>40269</v>
      </c>
      <c r="B66" t="s">
        <v>260</v>
      </c>
      <c r="C66">
        <v>55</v>
      </c>
      <c r="D66">
        <v>9</v>
      </c>
      <c r="E66" t="str" cm="1">
        <f t="array" ref="E66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67" spans="1:5" x14ac:dyDescent="0.3">
      <c r="A67" s="1">
        <v>40179</v>
      </c>
      <c r="B67" t="s">
        <v>259</v>
      </c>
      <c r="C67">
        <v>50</v>
      </c>
      <c r="D67">
        <v>9</v>
      </c>
      <c r="E67" t="str" cm="1">
        <f t="array" ref="E67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68" spans="1:5" x14ac:dyDescent="0.3">
      <c r="A68" s="1">
        <v>40087</v>
      </c>
      <c r="B68" t="s">
        <v>258</v>
      </c>
      <c r="C68">
        <v>40</v>
      </c>
      <c r="D68">
        <v>9</v>
      </c>
      <c r="E68" t="str" cm="1">
        <f t="array" ref="E68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69" spans="1:5" x14ac:dyDescent="0.3">
      <c r="A69" s="1">
        <v>39995</v>
      </c>
      <c r="B69" t="s">
        <v>257</v>
      </c>
      <c r="C69">
        <v>15</v>
      </c>
      <c r="D69">
        <v>9</v>
      </c>
      <c r="E69" t="str" cm="1">
        <f t="array" ref="E69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70" spans="1:5" x14ac:dyDescent="0.3">
      <c r="A70" s="1">
        <v>39904</v>
      </c>
      <c r="B70" t="s">
        <v>256</v>
      </c>
      <c r="C70">
        <v>15</v>
      </c>
      <c r="D70">
        <v>9</v>
      </c>
      <c r="E70" t="str" cm="1">
        <f t="array" ref="E70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71" spans="1:5" x14ac:dyDescent="0.3">
      <c r="A71" s="1">
        <v>39814</v>
      </c>
      <c r="B71" t="s">
        <v>255</v>
      </c>
      <c r="C71">
        <v>0</v>
      </c>
      <c r="D71">
        <v>9</v>
      </c>
      <c r="E71" t="str" cm="1">
        <f t="array" ref="E71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72" spans="1:5" x14ac:dyDescent="0.3">
      <c r="A72" s="1">
        <v>39722</v>
      </c>
      <c r="B72" t="s">
        <v>254</v>
      </c>
      <c r="C72">
        <v>0</v>
      </c>
      <c r="D72">
        <v>9</v>
      </c>
      <c r="E72" t="str" cm="1">
        <f t="array" ref="E72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73" spans="1:5" x14ac:dyDescent="0.3">
      <c r="A73" s="1">
        <v>39630</v>
      </c>
      <c r="B73" t="s">
        <v>253</v>
      </c>
      <c r="C73">
        <v>35</v>
      </c>
      <c r="D73">
        <v>9</v>
      </c>
      <c r="E73" t="str" cm="1">
        <f t="array" ref="E73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74" spans="1:5" x14ac:dyDescent="0.3">
      <c r="A74" s="1">
        <v>39539</v>
      </c>
      <c r="B74" t="s">
        <v>252</v>
      </c>
      <c r="C74">
        <v>35</v>
      </c>
      <c r="D74">
        <v>9</v>
      </c>
      <c r="E74" t="str" cm="1">
        <f t="array" ref="E74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75" spans="1:5" x14ac:dyDescent="0.3">
      <c r="A75" s="1">
        <v>39448</v>
      </c>
      <c r="B75" t="s">
        <v>251</v>
      </c>
      <c r="C75">
        <v>50</v>
      </c>
      <c r="D75">
        <v>9</v>
      </c>
      <c r="E75" t="str" cm="1">
        <f t="array" ref="E75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76" spans="1:5" x14ac:dyDescent="0.3">
      <c r="A76" s="1">
        <v>39356</v>
      </c>
      <c r="B76" t="s">
        <v>250</v>
      </c>
      <c r="C76">
        <v>40</v>
      </c>
      <c r="D76">
        <v>9</v>
      </c>
      <c r="E76" t="str" cm="1">
        <f t="array" ref="E76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77" spans="1:5" x14ac:dyDescent="0.3">
      <c r="A77" s="1">
        <v>39264</v>
      </c>
      <c r="B77" t="s">
        <v>249</v>
      </c>
      <c r="C77">
        <v>55</v>
      </c>
      <c r="D77">
        <v>9</v>
      </c>
      <c r="E77" t="str" cm="1">
        <f t="array" ref="E77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78" spans="1:5" x14ac:dyDescent="0.3">
      <c r="A78" s="1">
        <v>39173</v>
      </c>
      <c r="B78" t="s">
        <v>248</v>
      </c>
      <c r="C78">
        <v>70</v>
      </c>
      <c r="D78">
        <v>9</v>
      </c>
      <c r="E78" t="str" cm="1">
        <f t="array" ref="E78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79" spans="1:5" x14ac:dyDescent="0.3">
      <c r="A79" s="1">
        <v>39083</v>
      </c>
      <c r="B79" t="s">
        <v>247</v>
      </c>
      <c r="C79">
        <v>70</v>
      </c>
      <c r="D79">
        <v>9</v>
      </c>
      <c r="E79" t="str" cm="1">
        <f t="array" ref="E79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80" spans="1:5" x14ac:dyDescent="0.3">
      <c r="A80" s="1">
        <v>38991</v>
      </c>
      <c r="B80" t="s">
        <v>246</v>
      </c>
      <c r="C80">
        <v>70</v>
      </c>
      <c r="D80">
        <v>9</v>
      </c>
      <c r="E80" t="str" cm="1">
        <f t="array" ref="E80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81" spans="1:5" x14ac:dyDescent="0.3">
      <c r="A81" s="1">
        <v>38899</v>
      </c>
      <c r="B81" t="s">
        <v>245</v>
      </c>
      <c r="C81">
        <v>65</v>
      </c>
      <c r="D81">
        <v>9</v>
      </c>
      <c r="E81" t="str" cm="1">
        <f t="array" ref="E81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82" spans="1:5" x14ac:dyDescent="0.3">
      <c r="A82" s="1">
        <v>38808</v>
      </c>
      <c r="B82" t="s">
        <v>244</v>
      </c>
      <c r="C82">
        <v>65</v>
      </c>
      <c r="D82">
        <v>9</v>
      </c>
      <c r="E82" t="str" cm="1">
        <f t="array" ref="E82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83" spans="1:5" x14ac:dyDescent="0.3">
      <c r="A83" s="1">
        <v>38718</v>
      </c>
      <c r="B83" t="s">
        <v>243</v>
      </c>
      <c r="C83">
        <v>65</v>
      </c>
      <c r="D83">
        <v>9</v>
      </c>
      <c r="E83" t="str" cm="1">
        <f t="array" ref="E83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84" spans="1:5" x14ac:dyDescent="0.3">
      <c r="A84" s="1">
        <v>38626</v>
      </c>
      <c r="B84" t="s">
        <v>242</v>
      </c>
      <c r="C84">
        <v>65</v>
      </c>
      <c r="D84">
        <v>9</v>
      </c>
      <c r="E84" t="str" cm="1">
        <f t="array" ref="E84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85" spans="1:5" x14ac:dyDescent="0.3">
      <c r="A85" s="1">
        <v>38534</v>
      </c>
      <c r="B85" t="s">
        <v>241</v>
      </c>
      <c r="C85">
        <v>65</v>
      </c>
      <c r="D85">
        <v>9</v>
      </c>
      <c r="E85" t="str" cm="1">
        <f t="array" ref="E85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86" spans="1:5" x14ac:dyDescent="0.3">
      <c r="A86" s="1">
        <v>38443</v>
      </c>
      <c r="B86" t="s">
        <v>240</v>
      </c>
      <c r="C86">
        <v>65</v>
      </c>
      <c r="D86">
        <v>9</v>
      </c>
      <c r="E86" t="str" cm="1">
        <f t="array" ref="E86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87" spans="1:5" x14ac:dyDescent="0.3">
      <c r="A87" s="1">
        <v>38353</v>
      </c>
      <c r="B87" t="s">
        <v>239</v>
      </c>
      <c r="C87">
        <v>65</v>
      </c>
      <c r="D87">
        <v>9</v>
      </c>
      <c r="E87" t="str" cm="1">
        <f t="array" ref="E87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88" spans="1:5" x14ac:dyDescent="0.3">
      <c r="A88" s="1">
        <v>38261</v>
      </c>
      <c r="B88" t="s">
        <v>238</v>
      </c>
      <c r="C88">
        <v>80</v>
      </c>
      <c r="D88">
        <v>9</v>
      </c>
      <c r="E88" t="str" cm="1">
        <f t="array" ref="E88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89" spans="1:5" x14ac:dyDescent="0.3">
      <c r="A89" s="1">
        <v>38169</v>
      </c>
      <c r="B89" t="s">
        <v>237</v>
      </c>
      <c r="C89">
        <v>80</v>
      </c>
      <c r="D89">
        <v>9</v>
      </c>
      <c r="E89" t="str" cm="1">
        <f t="array" ref="E89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90" spans="1:5" x14ac:dyDescent="0.3">
      <c r="A90" s="1">
        <v>38078</v>
      </c>
      <c r="B90" t="s">
        <v>236</v>
      </c>
      <c r="C90">
        <v>75</v>
      </c>
      <c r="D90">
        <v>9</v>
      </c>
      <c r="E90" t="str" cm="1">
        <f t="array" ref="E90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91" spans="1:5" x14ac:dyDescent="0.3">
      <c r="A91" s="1">
        <v>37987</v>
      </c>
      <c r="B91" t="s">
        <v>235</v>
      </c>
      <c r="C91">
        <v>75</v>
      </c>
      <c r="D91">
        <v>9</v>
      </c>
      <c r="E91" t="str" cm="1">
        <f t="array" ref="E91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92" spans="1:5" x14ac:dyDescent="0.3">
      <c r="A92" s="1">
        <v>37895</v>
      </c>
      <c r="B92" t="s">
        <v>234</v>
      </c>
      <c r="C92">
        <v>60</v>
      </c>
      <c r="D92">
        <v>9</v>
      </c>
      <c r="E92" t="str" cm="1">
        <f t="array" ref="E92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93" spans="1:5" x14ac:dyDescent="0.3">
      <c r="A93" s="1">
        <v>37803</v>
      </c>
      <c r="B93" t="s">
        <v>233</v>
      </c>
      <c r="C93">
        <v>50</v>
      </c>
      <c r="D93">
        <v>9</v>
      </c>
      <c r="E93" t="str" cm="1">
        <f t="array" ref="E93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94" spans="1:5" x14ac:dyDescent="0.3">
      <c r="A94" s="1">
        <v>37712</v>
      </c>
      <c r="B94" t="s">
        <v>232</v>
      </c>
      <c r="C94">
        <v>45</v>
      </c>
      <c r="D94">
        <v>9</v>
      </c>
      <c r="E94" t="str" cm="1">
        <f t="array" ref="E94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95" spans="1:5" x14ac:dyDescent="0.3">
      <c r="A95" s="1">
        <v>37622</v>
      </c>
      <c r="B95" t="s">
        <v>231</v>
      </c>
      <c r="C95">
        <v>35</v>
      </c>
      <c r="D95">
        <v>9</v>
      </c>
      <c r="E95" t="str" cm="1">
        <f t="array" ref="E95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96" spans="1:5" x14ac:dyDescent="0.3">
      <c r="A96" s="1">
        <v>37530</v>
      </c>
      <c r="B96" t="s">
        <v>230</v>
      </c>
      <c r="C96">
        <v>45</v>
      </c>
      <c r="D96">
        <v>9</v>
      </c>
      <c r="E96" t="str" cm="1">
        <f t="array" ref="E96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97" spans="1:5" x14ac:dyDescent="0.3">
      <c r="A97" s="1">
        <v>37438</v>
      </c>
      <c r="B97" t="s">
        <v>229</v>
      </c>
      <c r="C97">
        <v>45</v>
      </c>
      <c r="D97">
        <v>9</v>
      </c>
      <c r="E97" t="str" cm="1">
        <f t="array" ref="E97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98" spans="1:5" x14ac:dyDescent="0.3">
      <c r="A98" s="1">
        <v>37347</v>
      </c>
      <c r="B98" t="s">
        <v>228</v>
      </c>
      <c r="C98">
        <v>50</v>
      </c>
      <c r="D98">
        <v>9</v>
      </c>
      <c r="E98" t="str" cm="1">
        <f t="array" ref="E98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99" spans="1:5" x14ac:dyDescent="0.3">
      <c r="A99" s="1">
        <v>37257</v>
      </c>
      <c r="B99" t="s">
        <v>227</v>
      </c>
      <c r="C99">
        <v>40</v>
      </c>
      <c r="D99">
        <v>9</v>
      </c>
      <c r="E99" t="str" cm="1">
        <f t="array" ref="E99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00" spans="1:5" x14ac:dyDescent="0.3">
      <c r="A100" s="1">
        <v>37165</v>
      </c>
      <c r="B100" t="s">
        <v>226</v>
      </c>
      <c r="C100">
        <v>25</v>
      </c>
      <c r="D100">
        <v>9</v>
      </c>
      <c r="E100" t="str" cm="1">
        <f t="array" ref="E100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01" spans="1:5" x14ac:dyDescent="0.3">
      <c r="A101" s="1">
        <v>37073</v>
      </c>
      <c r="B101" t="s">
        <v>225</v>
      </c>
      <c r="C101">
        <v>25</v>
      </c>
      <c r="D101">
        <v>9</v>
      </c>
      <c r="E101" t="str" cm="1">
        <f t="array" ref="E101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02" spans="1:5" x14ac:dyDescent="0.3">
      <c r="A102" s="1">
        <v>36982</v>
      </c>
      <c r="B102" t="s">
        <v>224</v>
      </c>
      <c r="C102">
        <v>40</v>
      </c>
      <c r="D102">
        <v>9</v>
      </c>
      <c r="E102" t="str" cm="1">
        <f t="array" ref="E102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03" spans="1:5" x14ac:dyDescent="0.3">
      <c r="A103" s="1">
        <v>36892</v>
      </c>
      <c r="B103" t="s">
        <v>223</v>
      </c>
      <c r="C103">
        <v>50</v>
      </c>
      <c r="D103">
        <v>9</v>
      </c>
      <c r="E103" t="str" cm="1">
        <f t="array" ref="E103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04" spans="1:5" x14ac:dyDescent="0.3">
      <c r="A104" s="1">
        <v>36800</v>
      </c>
      <c r="B104" t="s">
        <v>222</v>
      </c>
      <c r="C104">
        <v>65</v>
      </c>
      <c r="D104">
        <v>9</v>
      </c>
      <c r="E104" t="str" cm="1">
        <f t="array" ref="E104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105" spans="1:5" x14ac:dyDescent="0.3">
      <c r="A105" s="1">
        <v>36708</v>
      </c>
      <c r="B105" t="s">
        <v>221</v>
      </c>
      <c r="C105">
        <v>80</v>
      </c>
      <c r="D105">
        <v>9</v>
      </c>
      <c r="E105" t="str" cm="1">
        <f t="array" ref="E105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106" spans="1:5" x14ac:dyDescent="0.3">
      <c r="A106" s="1">
        <v>36617</v>
      </c>
      <c r="B106" t="s">
        <v>220</v>
      </c>
      <c r="C106">
        <v>80</v>
      </c>
      <c r="D106">
        <v>9</v>
      </c>
      <c r="E106" t="str" cm="1">
        <f t="array" ref="E106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107" spans="1:5" x14ac:dyDescent="0.3">
      <c r="A107" s="1">
        <v>36526</v>
      </c>
      <c r="B107" t="s">
        <v>219</v>
      </c>
      <c r="C107">
        <v>80</v>
      </c>
      <c r="D107">
        <v>9</v>
      </c>
      <c r="E107" t="str" cm="1">
        <f t="array" ref="E107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108" spans="1:5" x14ac:dyDescent="0.3">
      <c r="A108" s="1">
        <v>36434</v>
      </c>
      <c r="B108" t="s">
        <v>218</v>
      </c>
      <c r="C108">
        <v>80</v>
      </c>
      <c r="D108">
        <v>9</v>
      </c>
      <c r="E108" t="str" cm="1">
        <f t="array" ref="E108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109" spans="1:5" x14ac:dyDescent="0.3">
      <c r="A109" s="1">
        <v>36342</v>
      </c>
      <c r="B109" t="s">
        <v>217</v>
      </c>
      <c r="C109">
        <v>75</v>
      </c>
      <c r="D109">
        <v>9</v>
      </c>
      <c r="E109" t="str" cm="1">
        <f t="array" ref="E109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110" spans="1:5" x14ac:dyDescent="0.3">
      <c r="A110" s="1">
        <v>36251</v>
      </c>
      <c r="B110" t="s">
        <v>216</v>
      </c>
      <c r="C110">
        <v>60</v>
      </c>
      <c r="D110">
        <v>9</v>
      </c>
      <c r="E110" t="str" cm="1">
        <f t="array" ref="E110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11" spans="1:5" x14ac:dyDescent="0.3">
      <c r="A111" s="1">
        <v>36161</v>
      </c>
      <c r="B111" t="s">
        <v>215</v>
      </c>
      <c r="C111">
        <v>60</v>
      </c>
      <c r="D111">
        <v>9</v>
      </c>
      <c r="E111" t="str" cm="1">
        <f t="array" ref="E111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12" spans="1:5" x14ac:dyDescent="0.3">
      <c r="A112" s="1">
        <v>36069</v>
      </c>
      <c r="B112" t="s">
        <v>214</v>
      </c>
      <c r="C112">
        <v>60</v>
      </c>
      <c r="D112">
        <v>9</v>
      </c>
      <c r="E112" t="str" cm="1">
        <f t="array" ref="E112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13" spans="1:5" x14ac:dyDescent="0.3">
      <c r="A113" s="1">
        <v>35977</v>
      </c>
      <c r="B113" t="s">
        <v>213</v>
      </c>
      <c r="C113">
        <v>60</v>
      </c>
      <c r="D113">
        <v>9</v>
      </c>
      <c r="E113" t="str" cm="1">
        <f t="array" ref="E113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14" spans="1:5" x14ac:dyDescent="0.3">
      <c r="A114" s="1">
        <v>35886</v>
      </c>
      <c r="B114" t="s">
        <v>212</v>
      </c>
      <c r="C114">
        <v>75</v>
      </c>
      <c r="D114">
        <v>9</v>
      </c>
      <c r="E114" t="str" cm="1">
        <f t="array" ref="E114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115" spans="1:5" x14ac:dyDescent="0.3">
      <c r="A115" s="1">
        <v>35796</v>
      </c>
      <c r="B115" t="s">
        <v>211</v>
      </c>
      <c r="C115">
        <v>80</v>
      </c>
      <c r="D115">
        <v>9</v>
      </c>
      <c r="E115" t="str" cm="1">
        <f t="array" ref="E115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116" spans="1:5" x14ac:dyDescent="0.3">
      <c r="A116" s="1">
        <v>35704</v>
      </c>
      <c r="B116" t="s">
        <v>210</v>
      </c>
      <c r="C116">
        <v>80</v>
      </c>
      <c r="D116">
        <v>9</v>
      </c>
      <c r="E116" t="str" cm="1">
        <f t="array" ref="E116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117" spans="1:5" x14ac:dyDescent="0.3">
      <c r="A117" s="1">
        <v>35612</v>
      </c>
      <c r="B117" t="s">
        <v>209</v>
      </c>
      <c r="C117">
        <v>70</v>
      </c>
      <c r="D117">
        <v>9</v>
      </c>
      <c r="E117" t="str" cm="1">
        <f t="array" ref="E117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118" spans="1:5" x14ac:dyDescent="0.3">
      <c r="A118" s="1">
        <v>35521</v>
      </c>
      <c r="B118" t="s">
        <v>208</v>
      </c>
      <c r="C118">
        <v>70</v>
      </c>
      <c r="D118">
        <v>9</v>
      </c>
      <c r="E118" t="str" cm="1">
        <f t="array" ref="E118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119" spans="1:5" x14ac:dyDescent="0.3">
      <c r="A119" s="1">
        <v>35431</v>
      </c>
      <c r="B119" t="s">
        <v>207</v>
      </c>
      <c r="C119">
        <v>75</v>
      </c>
      <c r="D119">
        <v>9</v>
      </c>
      <c r="E119" t="str" cm="1">
        <f t="array" ref="E119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120" spans="1:5" x14ac:dyDescent="0.3">
      <c r="A120" s="1">
        <v>35339</v>
      </c>
      <c r="B120" t="s">
        <v>206</v>
      </c>
      <c r="C120">
        <v>75</v>
      </c>
      <c r="D120">
        <v>9</v>
      </c>
      <c r="E120" t="str" cm="1">
        <f t="array" ref="E120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121" spans="1:5" x14ac:dyDescent="0.3">
      <c r="A121" s="1">
        <v>35247</v>
      </c>
      <c r="B121" t="s">
        <v>205</v>
      </c>
      <c r="C121">
        <v>75</v>
      </c>
      <c r="D121">
        <v>9</v>
      </c>
      <c r="E121" t="str" cm="1">
        <f t="array" ref="E121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122" spans="1:5" x14ac:dyDescent="0.3">
      <c r="A122" s="1">
        <v>35156</v>
      </c>
      <c r="B122" t="s">
        <v>204</v>
      </c>
      <c r="C122">
        <v>50</v>
      </c>
      <c r="D122">
        <v>9</v>
      </c>
      <c r="E122" t="str" cm="1">
        <f t="array" ref="E122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23" spans="1:5" x14ac:dyDescent="0.3">
      <c r="A123" s="1">
        <v>35065</v>
      </c>
      <c r="B123" t="s">
        <v>203</v>
      </c>
      <c r="C123">
        <v>40</v>
      </c>
      <c r="D123">
        <v>9</v>
      </c>
      <c r="E123" t="str" cm="1">
        <f t="array" ref="E123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24" spans="1:5" x14ac:dyDescent="0.3">
      <c r="A124" s="1">
        <v>34973</v>
      </c>
      <c r="B124" t="s">
        <v>202</v>
      </c>
      <c r="C124">
        <v>55</v>
      </c>
      <c r="D124">
        <v>9</v>
      </c>
      <c r="E124" t="str" cm="1">
        <f t="array" ref="E124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25" spans="1:5" x14ac:dyDescent="0.3">
      <c r="A125" s="1">
        <v>34881</v>
      </c>
      <c r="B125" t="s">
        <v>201</v>
      </c>
      <c r="C125">
        <v>70</v>
      </c>
      <c r="D125">
        <v>9</v>
      </c>
      <c r="E125" t="str" cm="1">
        <f t="array" ref="E125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126" spans="1:5" x14ac:dyDescent="0.3">
      <c r="A126" s="1">
        <v>34790</v>
      </c>
      <c r="B126" t="s">
        <v>200</v>
      </c>
      <c r="C126">
        <v>65</v>
      </c>
      <c r="D126">
        <v>9</v>
      </c>
      <c r="E126" t="str" cm="1">
        <f t="array" ref="E126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127" spans="1:5" x14ac:dyDescent="0.3">
      <c r="A127" s="1">
        <v>34700</v>
      </c>
      <c r="B127" t="s">
        <v>199</v>
      </c>
      <c r="C127">
        <v>80</v>
      </c>
      <c r="D127">
        <v>9</v>
      </c>
      <c r="E127" t="str" cm="1">
        <f t="array" ref="E127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128" spans="1:5" x14ac:dyDescent="0.3">
      <c r="A128" s="1">
        <v>34608</v>
      </c>
      <c r="B128" t="s">
        <v>198</v>
      </c>
      <c r="C128">
        <v>80</v>
      </c>
      <c r="D128">
        <v>9</v>
      </c>
      <c r="E128" t="str" cm="1">
        <f t="array" ref="E128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129" spans="1:5" x14ac:dyDescent="0.3">
      <c r="A129" s="1">
        <v>34516</v>
      </c>
      <c r="B129" t="s">
        <v>197</v>
      </c>
      <c r="C129">
        <v>80</v>
      </c>
      <c r="D129">
        <v>9</v>
      </c>
      <c r="E129" t="str" cm="1">
        <f t="array" ref="E129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130" spans="1:5" x14ac:dyDescent="0.3">
      <c r="A130" s="1">
        <v>34425</v>
      </c>
      <c r="B130" t="s">
        <v>196</v>
      </c>
      <c r="C130">
        <v>80</v>
      </c>
      <c r="D130">
        <v>9</v>
      </c>
      <c r="E130" t="str" cm="1">
        <f t="array" ref="E130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131" spans="1:5" x14ac:dyDescent="0.3">
      <c r="A131" s="1">
        <v>34335</v>
      </c>
      <c r="B131" t="s">
        <v>195</v>
      </c>
      <c r="C131">
        <v>80</v>
      </c>
      <c r="D131">
        <v>9</v>
      </c>
      <c r="E131" t="str" cm="1">
        <f t="array" ref="E131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132" spans="1:5" x14ac:dyDescent="0.3">
      <c r="A132" s="1">
        <v>34243</v>
      </c>
      <c r="B132" t="s">
        <v>194</v>
      </c>
      <c r="C132">
        <v>75</v>
      </c>
      <c r="D132">
        <v>9</v>
      </c>
      <c r="E132" t="str" cm="1">
        <f t="array" ref="E132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133" spans="1:5" x14ac:dyDescent="0.3">
      <c r="A133" s="1">
        <v>34151</v>
      </c>
      <c r="B133" t="s">
        <v>193</v>
      </c>
      <c r="C133">
        <v>75</v>
      </c>
      <c r="D133">
        <v>9</v>
      </c>
      <c r="E133" t="str" cm="1">
        <f t="array" ref="E133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134" spans="1:5" x14ac:dyDescent="0.3">
      <c r="A134" s="1">
        <v>34060</v>
      </c>
      <c r="B134" t="s">
        <v>192</v>
      </c>
      <c r="C134">
        <v>75</v>
      </c>
      <c r="D134">
        <v>9</v>
      </c>
      <c r="E134" t="str" cm="1">
        <f t="array" ref="E134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135" spans="1:5" x14ac:dyDescent="0.3">
      <c r="A135" s="1">
        <v>33970</v>
      </c>
      <c r="B135" t="s">
        <v>191</v>
      </c>
      <c r="C135">
        <v>75</v>
      </c>
      <c r="D135">
        <v>9</v>
      </c>
      <c r="E135" t="str" cm="1">
        <f t="array" ref="E135">_xlfn.IFS(economy_score[[#This Row],[economic_score]]&lt;=40, "Bad", AND(economy_score[[#This Row],[economic_score]]&gt;40, economy_score[[#This Row],[economic_score]]&lt;= 60), "Stable", economy_score[[#This Row],[economic_score]] &gt; 60, "Growing")</f>
        <v>Growing</v>
      </c>
    </row>
    <row r="136" spans="1:5" x14ac:dyDescent="0.3">
      <c r="A136" s="1">
        <v>33878</v>
      </c>
      <c r="B136" t="s">
        <v>190</v>
      </c>
      <c r="C136">
        <v>45</v>
      </c>
      <c r="D136">
        <v>9</v>
      </c>
      <c r="E136" t="str" cm="1">
        <f t="array" ref="E136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37" spans="1:5" x14ac:dyDescent="0.3">
      <c r="A137" s="1">
        <v>33786</v>
      </c>
      <c r="B137" t="s">
        <v>189</v>
      </c>
      <c r="C137">
        <v>30</v>
      </c>
      <c r="D137">
        <v>9</v>
      </c>
      <c r="E137" t="str" cm="1">
        <f t="array" ref="E137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38" spans="1:5" x14ac:dyDescent="0.3">
      <c r="A138" s="1">
        <v>33695</v>
      </c>
      <c r="B138" t="s">
        <v>188</v>
      </c>
      <c r="C138">
        <v>30</v>
      </c>
      <c r="D138">
        <v>9</v>
      </c>
      <c r="E138" t="str" cm="1">
        <f t="array" ref="E138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39" spans="1:5" x14ac:dyDescent="0.3">
      <c r="A139" s="1">
        <v>33604</v>
      </c>
      <c r="B139" t="s">
        <v>187</v>
      </c>
      <c r="C139">
        <v>15</v>
      </c>
      <c r="D139">
        <v>9</v>
      </c>
      <c r="E139" t="str" cm="1">
        <f t="array" ref="E139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40" spans="1:5" x14ac:dyDescent="0.3">
      <c r="A140" s="1">
        <v>33512</v>
      </c>
      <c r="B140" t="s">
        <v>186</v>
      </c>
      <c r="C140">
        <v>30</v>
      </c>
      <c r="D140">
        <v>7</v>
      </c>
      <c r="E140" t="str" cm="1">
        <f t="array" ref="E140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41" spans="1:5" x14ac:dyDescent="0.3">
      <c r="A141" s="1">
        <v>33420</v>
      </c>
      <c r="B141" t="s">
        <v>185</v>
      </c>
      <c r="C141">
        <v>15</v>
      </c>
      <c r="D141">
        <v>7</v>
      </c>
      <c r="E141" t="str" cm="1">
        <f t="array" ref="E141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42" spans="1:5" x14ac:dyDescent="0.3">
      <c r="A142" s="1">
        <v>33329</v>
      </c>
      <c r="B142" t="s">
        <v>184</v>
      </c>
      <c r="C142">
        <v>0</v>
      </c>
      <c r="D142">
        <v>7</v>
      </c>
      <c r="E142" t="str" cm="1">
        <f t="array" ref="E142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43" spans="1:5" x14ac:dyDescent="0.3">
      <c r="A143" s="1">
        <v>33239</v>
      </c>
      <c r="B143" t="s">
        <v>183</v>
      </c>
      <c r="C143">
        <v>0</v>
      </c>
      <c r="D143">
        <v>7</v>
      </c>
      <c r="E143" t="str" cm="1">
        <f t="array" ref="E143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44" spans="1:5" x14ac:dyDescent="0.3">
      <c r="A144" s="1">
        <v>33147</v>
      </c>
      <c r="B144" t="s">
        <v>182</v>
      </c>
      <c r="C144">
        <v>30</v>
      </c>
      <c r="D144">
        <v>7</v>
      </c>
      <c r="E144" t="str" cm="1">
        <f t="array" ref="E144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45" spans="1:5" x14ac:dyDescent="0.3">
      <c r="A145" s="1">
        <v>33055</v>
      </c>
      <c r="B145" t="s">
        <v>181</v>
      </c>
      <c r="C145">
        <v>30</v>
      </c>
      <c r="D145">
        <v>7</v>
      </c>
      <c r="E145" t="str" cm="1">
        <f t="array" ref="E145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46" spans="1:5" x14ac:dyDescent="0.3">
      <c r="A146" s="1">
        <v>32964</v>
      </c>
      <c r="B146" t="s">
        <v>180</v>
      </c>
      <c r="C146">
        <v>30</v>
      </c>
      <c r="D146">
        <v>7</v>
      </c>
      <c r="E146" t="str" cm="1">
        <f t="array" ref="E146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47" spans="1:5" x14ac:dyDescent="0.3">
      <c r="A147" s="1">
        <v>32874</v>
      </c>
      <c r="B147" t="s">
        <v>179</v>
      </c>
      <c r="C147">
        <v>30</v>
      </c>
      <c r="D147">
        <v>7</v>
      </c>
      <c r="E147" t="str" cm="1">
        <f t="array" ref="E147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48" spans="1:5" x14ac:dyDescent="0.3">
      <c r="A148" s="1">
        <v>32782</v>
      </c>
      <c r="B148" t="s">
        <v>178</v>
      </c>
      <c r="C148">
        <v>35</v>
      </c>
      <c r="D148">
        <v>7</v>
      </c>
      <c r="E148" t="str" cm="1">
        <f t="array" ref="E148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49" spans="1:5" x14ac:dyDescent="0.3">
      <c r="A149" s="1">
        <v>32690</v>
      </c>
      <c r="B149" t="s">
        <v>177</v>
      </c>
      <c r="C149">
        <v>45</v>
      </c>
      <c r="D149">
        <v>7</v>
      </c>
      <c r="E149" t="str" cm="1">
        <f t="array" ref="E149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50" spans="1:5" x14ac:dyDescent="0.3">
      <c r="A150" s="1">
        <v>32599</v>
      </c>
      <c r="B150" t="s">
        <v>176</v>
      </c>
      <c r="C150">
        <v>45</v>
      </c>
      <c r="D150">
        <v>7</v>
      </c>
      <c r="E150" t="str" cm="1">
        <f t="array" ref="E150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51" spans="1:5" x14ac:dyDescent="0.3">
      <c r="A151" s="1">
        <v>32509</v>
      </c>
      <c r="B151" t="s">
        <v>175</v>
      </c>
      <c r="C151">
        <v>60</v>
      </c>
      <c r="D151">
        <v>7</v>
      </c>
      <c r="E151" t="str" cm="1">
        <f t="array" ref="E151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52" spans="1:5" x14ac:dyDescent="0.3">
      <c r="A152" s="1">
        <v>32417</v>
      </c>
      <c r="B152" t="s">
        <v>174</v>
      </c>
      <c r="C152">
        <v>60</v>
      </c>
      <c r="D152">
        <v>7</v>
      </c>
      <c r="E152" t="str" cm="1">
        <f t="array" ref="E152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53" spans="1:5" x14ac:dyDescent="0.3">
      <c r="A153" s="1">
        <v>32325</v>
      </c>
      <c r="B153" t="s">
        <v>173</v>
      </c>
      <c r="C153">
        <v>60</v>
      </c>
      <c r="D153">
        <v>7</v>
      </c>
      <c r="E153" t="str" cm="1">
        <f t="array" ref="E153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54" spans="1:5" x14ac:dyDescent="0.3">
      <c r="A154" s="1">
        <v>32234</v>
      </c>
      <c r="B154" t="s">
        <v>172</v>
      </c>
      <c r="C154">
        <v>60</v>
      </c>
      <c r="D154">
        <v>7</v>
      </c>
      <c r="E154" t="str" cm="1">
        <f t="array" ref="E154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55" spans="1:5" x14ac:dyDescent="0.3">
      <c r="A155" s="1">
        <v>32143</v>
      </c>
      <c r="B155" t="s">
        <v>171</v>
      </c>
      <c r="C155">
        <v>60</v>
      </c>
      <c r="D155">
        <v>7</v>
      </c>
      <c r="E155" t="str" cm="1">
        <f t="array" ref="E155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56" spans="1:5" x14ac:dyDescent="0.3">
      <c r="A156" s="1">
        <v>32051</v>
      </c>
      <c r="B156" t="s">
        <v>170</v>
      </c>
      <c r="C156">
        <v>45</v>
      </c>
      <c r="D156">
        <v>7</v>
      </c>
      <c r="E156" t="str" cm="1">
        <f t="array" ref="E156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57" spans="1:5" x14ac:dyDescent="0.3">
      <c r="A157" s="1">
        <v>31959</v>
      </c>
      <c r="B157" t="s">
        <v>169</v>
      </c>
      <c r="C157">
        <v>45</v>
      </c>
      <c r="D157">
        <v>7</v>
      </c>
      <c r="E157" t="str" cm="1">
        <f t="array" ref="E157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58" spans="1:5" x14ac:dyDescent="0.3">
      <c r="A158" s="1">
        <v>31868</v>
      </c>
      <c r="B158" t="s">
        <v>168</v>
      </c>
      <c r="C158">
        <v>40</v>
      </c>
      <c r="D158">
        <v>7</v>
      </c>
      <c r="E158" t="str" cm="1">
        <f t="array" ref="E158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59" spans="1:5" x14ac:dyDescent="0.3">
      <c r="A159" s="1">
        <v>31778</v>
      </c>
      <c r="B159" t="s">
        <v>167</v>
      </c>
      <c r="C159">
        <v>40</v>
      </c>
      <c r="D159">
        <v>7</v>
      </c>
      <c r="E159" t="str" cm="1">
        <f t="array" ref="E159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60" spans="1:5" x14ac:dyDescent="0.3">
      <c r="A160" s="1">
        <v>31686</v>
      </c>
      <c r="B160" t="s">
        <v>166</v>
      </c>
      <c r="C160">
        <v>55</v>
      </c>
      <c r="D160">
        <v>7</v>
      </c>
      <c r="E160" t="str" cm="1">
        <f t="array" ref="E160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61" spans="1:5" x14ac:dyDescent="0.3">
      <c r="A161" s="1">
        <v>31594</v>
      </c>
      <c r="B161" t="s">
        <v>165</v>
      </c>
      <c r="C161">
        <v>55</v>
      </c>
      <c r="D161">
        <v>7</v>
      </c>
      <c r="E161" t="str" cm="1">
        <f t="array" ref="E161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62" spans="1:5" x14ac:dyDescent="0.3">
      <c r="A162" s="1">
        <v>31503</v>
      </c>
      <c r="B162" t="s">
        <v>164</v>
      </c>
      <c r="C162">
        <v>55</v>
      </c>
      <c r="D162">
        <v>7</v>
      </c>
      <c r="E162" t="str" cm="1">
        <f t="array" ref="E162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63" spans="1:5" x14ac:dyDescent="0.3">
      <c r="A163" s="1">
        <v>31413</v>
      </c>
      <c r="B163" t="s">
        <v>163</v>
      </c>
      <c r="C163">
        <v>55</v>
      </c>
      <c r="D163">
        <v>7</v>
      </c>
      <c r="E163" t="str" cm="1">
        <f t="array" ref="E163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64" spans="1:5" x14ac:dyDescent="0.3">
      <c r="A164" s="1">
        <v>31321</v>
      </c>
      <c r="B164" t="s">
        <v>162</v>
      </c>
      <c r="C164">
        <v>40</v>
      </c>
      <c r="D164">
        <v>7</v>
      </c>
      <c r="E164" t="str" cm="1">
        <f t="array" ref="E164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65" spans="1:5" x14ac:dyDescent="0.3">
      <c r="A165" s="1">
        <v>31229</v>
      </c>
      <c r="B165" t="s">
        <v>161</v>
      </c>
      <c r="C165">
        <v>40</v>
      </c>
      <c r="D165">
        <v>7</v>
      </c>
      <c r="E165" t="str" cm="1">
        <f t="array" ref="E165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66" spans="1:5" x14ac:dyDescent="0.3">
      <c r="A166" s="1">
        <v>31138</v>
      </c>
      <c r="B166" t="s">
        <v>160</v>
      </c>
      <c r="C166">
        <v>40</v>
      </c>
      <c r="D166">
        <v>7</v>
      </c>
      <c r="E166" t="str" cm="1">
        <f t="array" ref="E166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67" spans="1:5" x14ac:dyDescent="0.3">
      <c r="A167" s="1">
        <v>31048</v>
      </c>
      <c r="B167" t="s">
        <v>159</v>
      </c>
      <c r="C167">
        <v>40</v>
      </c>
      <c r="D167">
        <v>7</v>
      </c>
      <c r="E167" t="str" cm="1">
        <f t="array" ref="E167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68" spans="1:5" x14ac:dyDescent="0.3">
      <c r="A168" s="1">
        <v>30956</v>
      </c>
      <c r="B168" t="s">
        <v>158</v>
      </c>
      <c r="C168">
        <v>55</v>
      </c>
      <c r="D168">
        <v>7</v>
      </c>
      <c r="E168" t="str" cm="1">
        <f t="array" ref="E168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69" spans="1:5" x14ac:dyDescent="0.3">
      <c r="A169" s="1">
        <v>30864</v>
      </c>
      <c r="B169" t="s">
        <v>157</v>
      </c>
      <c r="C169">
        <v>60</v>
      </c>
      <c r="D169">
        <v>7</v>
      </c>
      <c r="E169" t="str" cm="1">
        <f t="array" ref="E169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70" spans="1:5" x14ac:dyDescent="0.3">
      <c r="A170" s="1">
        <v>30773</v>
      </c>
      <c r="B170" t="s">
        <v>156</v>
      </c>
      <c r="C170">
        <v>60</v>
      </c>
      <c r="D170">
        <v>7</v>
      </c>
      <c r="E170" t="str" cm="1">
        <f t="array" ref="E170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71" spans="1:5" x14ac:dyDescent="0.3">
      <c r="A171" s="1">
        <v>30682</v>
      </c>
      <c r="B171" t="s">
        <v>155</v>
      </c>
      <c r="C171">
        <v>60</v>
      </c>
      <c r="D171">
        <v>7</v>
      </c>
      <c r="E171" t="str" cm="1">
        <f t="array" ref="E171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72" spans="1:5" x14ac:dyDescent="0.3">
      <c r="A172" s="1">
        <v>30590</v>
      </c>
      <c r="B172" t="s">
        <v>154</v>
      </c>
      <c r="C172">
        <v>60</v>
      </c>
      <c r="D172">
        <v>7</v>
      </c>
      <c r="E172" t="str" cm="1">
        <f t="array" ref="E172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73" spans="1:5" x14ac:dyDescent="0.3">
      <c r="A173" s="1">
        <v>30498</v>
      </c>
      <c r="B173" t="s">
        <v>153</v>
      </c>
      <c r="C173">
        <v>55</v>
      </c>
      <c r="D173">
        <v>7</v>
      </c>
      <c r="E173" t="str" cm="1">
        <f t="array" ref="E173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74" spans="1:5" x14ac:dyDescent="0.3">
      <c r="A174" s="1">
        <v>30407</v>
      </c>
      <c r="B174" t="s">
        <v>152</v>
      </c>
      <c r="C174">
        <v>30</v>
      </c>
      <c r="D174">
        <v>7</v>
      </c>
      <c r="E174" t="str" cm="1">
        <f t="array" ref="E174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75" spans="1:5" x14ac:dyDescent="0.3">
      <c r="A175" s="1">
        <v>30317</v>
      </c>
      <c r="B175" t="s">
        <v>151</v>
      </c>
      <c r="C175">
        <v>30</v>
      </c>
      <c r="D175">
        <v>7</v>
      </c>
      <c r="E175" t="str" cm="1">
        <f t="array" ref="E175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76" spans="1:5" x14ac:dyDescent="0.3">
      <c r="A176" s="1">
        <v>30225</v>
      </c>
      <c r="B176" t="s">
        <v>150</v>
      </c>
      <c r="C176">
        <v>15</v>
      </c>
      <c r="D176">
        <v>7</v>
      </c>
      <c r="E176" t="str" cm="1">
        <f t="array" ref="E176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77" spans="1:5" x14ac:dyDescent="0.3">
      <c r="A177" s="1">
        <v>30133</v>
      </c>
      <c r="B177" t="s">
        <v>149</v>
      </c>
      <c r="C177">
        <v>0</v>
      </c>
      <c r="D177">
        <v>7</v>
      </c>
      <c r="E177" t="str" cm="1">
        <f t="array" ref="E177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78" spans="1:5" x14ac:dyDescent="0.3">
      <c r="A178" s="1">
        <v>30042</v>
      </c>
      <c r="B178" t="s">
        <v>148</v>
      </c>
      <c r="C178">
        <v>0</v>
      </c>
      <c r="D178">
        <v>7</v>
      </c>
      <c r="E178" t="str" cm="1">
        <f t="array" ref="E178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79" spans="1:5" x14ac:dyDescent="0.3">
      <c r="A179" s="1">
        <v>29952</v>
      </c>
      <c r="B179" t="s">
        <v>147</v>
      </c>
      <c r="C179">
        <v>0</v>
      </c>
      <c r="D179">
        <v>7</v>
      </c>
      <c r="E179" t="str" cm="1">
        <f t="array" ref="E179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80" spans="1:5" x14ac:dyDescent="0.3">
      <c r="A180" s="1">
        <v>29860</v>
      </c>
      <c r="B180" t="s">
        <v>146</v>
      </c>
      <c r="C180">
        <v>30</v>
      </c>
      <c r="D180">
        <v>7</v>
      </c>
      <c r="E180" t="str" cm="1">
        <f t="array" ref="E180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81" spans="1:5" x14ac:dyDescent="0.3">
      <c r="A181" s="1">
        <v>29768</v>
      </c>
      <c r="B181" t="s">
        <v>145</v>
      </c>
      <c r="C181">
        <v>60</v>
      </c>
      <c r="D181">
        <v>7</v>
      </c>
      <c r="E181" t="str" cm="1">
        <f t="array" ref="E181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82" spans="1:5" x14ac:dyDescent="0.3">
      <c r="A182" s="1">
        <v>29677</v>
      </c>
      <c r="B182" t="s">
        <v>144</v>
      </c>
      <c r="C182">
        <v>50</v>
      </c>
      <c r="D182">
        <v>7</v>
      </c>
      <c r="E182" t="str" cm="1">
        <f t="array" ref="E182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83" spans="1:5" x14ac:dyDescent="0.3">
      <c r="A183" s="1">
        <v>29587</v>
      </c>
      <c r="B183" t="s">
        <v>143</v>
      </c>
      <c r="C183">
        <v>50</v>
      </c>
      <c r="D183">
        <v>7</v>
      </c>
      <c r="E183" t="str" cm="1">
        <f t="array" ref="E183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84" spans="1:5" x14ac:dyDescent="0.3">
      <c r="A184" s="1">
        <v>29495</v>
      </c>
      <c r="B184" t="s">
        <v>142</v>
      </c>
      <c r="C184">
        <v>35</v>
      </c>
      <c r="D184">
        <v>7</v>
      </c>
      <c r="E184" t="str" cm="1">
        <f t="array" ref="E184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85" spans="1:5" x14ac:dyDescent="0.3">
      <c r="A185" s="1">
        <v>29403</v>
      </c>
      <c r="B185" t="s">
        <v>141</v>
      </c>
      <c r="C185">
        <v>15</v>
      </c>
      <c r="D185">
        <v>7</v>
      </c>
      <c r="E185" t="str" cm="1">
        <f t="array" ref="E185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86" spans="1:5" x14ac:dyDescent="0.3">
      <c r="A186" s="1">
        <v>29312</v>
      </c>
      <c r="B186" t="s">
        <v>140</v>
      </c>
      <c r="C186">
        <v>20</v>
      </c>
      <c r="D186">
        <v>7</v>
      </c>
      <c r="E186" t="str" cm="1">
        <f t="array" ref="E186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87" spans="1:5" x14ac:dyDescent="0.3">
      <c r="A187" s="1">
        <v>29221</v>
      </c>
      <c r="B187" t="s">
        <v>139</v>
      </c>
      <c r="C187">
        <v>35</v>
      </c>
      <c r="D187">
        <v>7</v>
      </c>
      <c r="E187" t="str" cm="1">
        <f t="array" ref="E187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88" spans="1:5" x14ac:dyDescent="0.3">
      <c r="A188" s="1">
        <v>29129</v>
      </c>
      <c r="B188" t="s">
        <v>138</v>
      </c>
      <c r="C188">
        <v>35</v>
      </c>
      <c r="D188">
        <v>7</v>
      </c>
      <c r="E188" t="str" cm="1">
        <f t="array" ref="E188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89" spans="1:5" x14ac:dyDescent="0.3">
      <c r="A189" s="1">
        <v>29037</v>
      </c>
      <c r="B189" t="s">
        <v>137</v>
      </c>
      <c r="C189">
        <v>45</v>
      </c>
      <c r="D189">
        <v>7</v>
      </c>
      <c r="E189" t="str" cm="1">
        <f t="array" ref="E189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90" spans="1:5" x14ac:dyDescent="0.3">
      <c r="A190" s="1">
        <v>28946</v>
      </c>
      <c r="B190" t="s">
        <v>136</v>
      </c>
      <c r="C190">
        <v>45</v>
      </c>
      <c r="D190">
        <v>7</v>
      </c>
      <c r="E190" t="str" cm="1">
        <f t="array" ref="E190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91" spans="1:5" x14ac:dyDescent="0.3">
      <c r="A191" s="1">
        <v>28856</v>
      </c>
      <c r="B191" t="s">
        <v>135</v>
      </c>
      <c r="C191">
        <v>45</v>
      </c>
      <c r="D191">
        <v>7</v>
      </c>
      <c r="E191" t="str" cm="1">
        <f t="array" ref="E191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92" spans="1:5" x14ac:dyDescent="0.3">
      <c r="A192" s="1">
        <v>28764</v>
      </c>
      <c r="B192" t="s">
        <v>134</v>
      </c>
      <c r="C192">
        <v>45</v>
      </c>
      <c r="D192">
        <v>7</v>
      </c>
      <c r="E192" t="str" cm="1">
        <f t="array" ref="E192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93" spans="1:5" x14ac:dyDescent="0.3">
      <c r="A193" s="1">
        <v>28672</v>
      </c>
      <c r="B193" t="s">
        <v>133</v>
      </c>
      <c r="C193">
        <v>45</v>
      </c>
      <c r="D193">
        <v>7</v>
      </c>
      <c r="E193" t="str" cm="1">
        <f t="array" ref="E193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94" spans="1:5" x14ac:dyDescent="0.3">
      <c r="A194" s="1">
        <v>28581</v>
      </c>
      <c r="B194" t="s">
        <v>132</v>
      </c>
      <c r="C194">
        <v>45</v>
      </c>
      <c r="D194">
        <v>7</v>
      </c>
      <c r="E194" t="str" cm="1">
        <f t="array" ref="E194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95" spans="1:5" x14ac:dyDescent="0.3">
      <c r="A195" s="1">
        <v>28491</v>
      </c>
      <c r="B195" t="s">
        <v>131</v>
      </c>
      <c r="C195">
        <v>45</v>
      </c>
      <c r="D195">
        <v>7</v>
      </c>
      <c r="E195" t="str" cm="1">
        <f t="array" ref="E195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96" spans="1:5" x14ac:dyDescent="0.3">
      <c r="A196" s="1">
        <v>28399</v>
      </c>
      <c r="B196" t="s">
        <v>130</v>
      </c>
      <c r="C196">
        <v>45</v>
      </c>
      <c r="D196">
        <v>6</v>
      </c>
      <c r="E196" t="str" cm="1">
        <f t="array" ref="E196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97" spans="1:5" x14ac:dyDescent="0.3">
      <c r="A197" s="1">
        <v>28307</v>
      </c>
      <c r="B197" t="s">
        <v>129</v>
      </c>
      <c r="C197">
        <v>45</v>
      </c>
      <c r="D197">
        <v>6</v>
      </c>
      <c r="E197" t="str" cm="1">
        <f t="array" ref="E197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198" spans="1:5" x14ac:dyDescent="0.3">
      <c r="A198" s="1">
        <v>28216</v>
      </c>
      <c r="B198" t="s">
        <v>128</v>
      </c>
      <c r="C198">
        <v>40</v>
      </c>
      <c r="D198">
        <v>6</v>
      </c>
      <c r="E198" t="str" cm="1">
        <f t="array" ref="E198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199" spans="1:5" x14ac:dyDescent="0.3">
      <c r="A199" s="1">
        <v>28126</v>
      </c>
      <c r="B199" t="s">
        <v>127</v>
      </c>
      <c r="C199">
        <v>40</v>
      </c>
      <c r="D199">
        <v>6</v>
      </c>
      <c r="E199" t="str" cm="1">
        <f t="array" ref="E199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00" spans="1:5" x14ac:dyDescent="0.3">
      <c r="A200" s="1">
        <v>28034</v>
      </c>
      <c r="B200" t="s">
        <v>126</v>
      </c>
      <c r="C200">
        <v>40</v>
      </c>
      <c r="D200">
        <v>6</v>
      </c>
      <c r="E200" t="str" cm="1">
        <f t="array" ref="E200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01" spans="1:5" x14ac:dyDescent="0.3">
      <c r="A201" s="1">
        <v>27942</v>
      </c>
      <c r="B201" t="s">
        <v>125</v>
      </c>
      <c r="C201">
        <v>40</v>
      </c>
      <c r="D201">
        <v>6</v>
      </c>
      <c r="E201" t="str" cm="1">
        <f t="array" ref="E201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02" spans="1:5" x14ac:dyDescent="0.3">
      <c r="A202" s="1">
        <v>27851</v>
      </c>
      <c r="B202" t="s">
        <v>124</v>
      </c>
      <c r="C202">
        <v>40</v>
      </c>
      <c r="D202">
        <v>6</v>
      </c>
      <c r="E202" t="str" cm="1">
        <f t="array" ref="E202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03" spans="1:5" x14ac:dyDescent="0.3">
      <c r="A203" s="1">
        <v>27760</v>
      </c>
      <c r="B203" t="s">
        <v>123</v>
      </c>
      <c r="C203">
        <v>40</v>
      </c>
      <c r="D203">
        <v>6</v>
      </c>
      <c r="E203" t="str" cm="1">
        <f t="array" ref="E203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04" spans="1:5" x14ac:dyDescent="0.3">
      <c r="A204" s="1">
        <v>27668</v>
      </c>
      <c r="B204" t="s">
        <v>122</v>
      </c>
      <c r="C204">
        <v>15</v>
      </c>
      <c r="D204">
        <v>6</v>
      </c>
      <c r="E204" t="str" cm="1">
        <f t="array" ref="E204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05" spans="1:5" x14ac:dyDescent="0.3">
      <c r="A205" s="1">
        <v>27576</v>
      </c>
      <c r="B205" t="s">
        <v>121</v>
      </c>
      <c r="C205">
        <v>15</v>
      </c>
      <c r="D205">
        <v>6</v>
      </c>
      <c r="E205" t="str" cm="1">
        <f t="array" ref="E205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06" spans="1:5" x14ac:dyDescent="0.3">
      <c r="A206" s="1">
        <v>27485</v>
      </c>
      <c r="B206" t="s">
        <v>120</v>
      </c>
      <c r="C206">
        <v>0</v>
      </c>
      <c r="D206">
        <v>6</v>
      </c>
      <c r="E206" t="str" cm="1">
        <f t="array" ref="E206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07" spans="1:5" x14ac:dyDescent="0.3">
      <c r="A207" s="1">
        <v>27395</v>
      </c>
      <c r="B207" t="s">
        <v>119</v>
      </c>
      <c r="C207">
        <v>0</v>
      </c>
      <c r="D207">
        <v>6</v>
      </c>
      <c r="E207" t="str" cm="1">
        <f t="array" ref="E207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08" spans="1:5" x14ac:dyDescent="0.3">
      <c r="A208" s="1">
        <v>27303</v>
      </c>
      <c r="B208" t="s">
        <v>118</v>
      </c>
      <c r="C208">
        <v>15</v>
      </c>
      <c r="D208">
        <v>6</v>
      </c>
      <c r="E208" t="str" cm="1">
        <f t="array" ref="E208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09" spans="1:5" x14ac:dyDescent="0.3">
      <c r="A209" s="1">
        <v>27211</v>
      </c>
      <c r="B209" t="s">
        <v>117</v>
      </c>
      <c r="C209">
        <v>20</v>
      </c>
      <c r="D209">
        <v>6</v>
      </c>
      <c r="E209" t="str" cm="1">
        <f t="array" ref="E209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10" spans="1:5" x14ac:dyDescent="0.3">
      <c r="A210" s="1">
        <v>27120</v>
      </c>
      <c r="B210" t="s">
        <v>116</v>
      </c>
      <c r="C210">
        <v>20</v>
      </c>
      <c r="D210">
        <v>6</v>
      </c>
      <c r="E210" t="str" cm="1">
        <f t="array" ref="E210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11" spans="1:5" x14ac:dyDescent="0.3">
      <c r="A211" s="1">
        <v>27030</v>
      </c>
      <c r="B211" t="s">
        <v>115</v>
      </c>
      <c r="C211">
        <v>35</v>
      </c>
      <c r="D211">
        <v>6</v>
      </c>
      <c r="E211" t="str" cm="1">
        <f t="array" ref="E211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12" spans="1:5" x14ac:dyDescent="0.3">
      <c r="A212" s="1">
        <v>26938</v>
      </c>
      <c r="B212" t="s">
        <v>114</v>
      </c>
      <c r="C212">
        <v>45</v>
      </c>
      <c r="D212">
        <v>5</v>
      </c>
      <c r="E212" t="str" cm="1">
        <f t="array" ref="E212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13" spans="1:5" x14ac:dyDescent="0.3">
      <c r="A213" s="1">
        <v>26846</v>
      </c>
      <c r="B213" t="s">
        <v>113</v>
      </c>
      <c r="C213">
        <v>45</v>
      </c>
      <c r="D213">
        <v>5</v>
      </c>
      <c r="E213" t="str" cm="1">
        <f t="array" ref="E213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14" spans="1:5" x14ac:dyDescent="0.3">
      <c r="A214" s="1">
        <v>26755</v>
      </c>
      <c r="B214" t="s">
        <v>112</v>
      </c>
      <c r="C214">
        <v>45</v>
      </c>
      <c r="D214">
        <v>5</v>
      </c>
      <c r="E214" t="str" cm="1">
        <f t="array" ref="E214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15" spans="1:5" x14ac:dyDescent="0.3">
      <c r="A215" s="1">
        <v>26665</v>
      </c>
      <c r="B215" t="s">
        <v>111</v>
      </c>
      <c r="C215">
        <v>45</v>
      </c>
      <c r="D215">
        <v>5</v>
      </c>
      <c r="E215" t="str" cm="1">
        <f t="array" ref="E215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16" spans="1:5" x14ac:dyDescent="0.3">
      <c r="A216" s="1">
        <v>26573</v>
      </c>
      <c r="B216" t="s">
        <v>110</v>
      </c>
      <c r="C216">
        <v>45</v>
      </c>
      <c r="D216">
        <v>5</v>
      </c>
      <c r="E216" t="str" cm="1">
        <f t="array" ref="E216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17" spans="1:5" x14ac:dyDescent="0.3">
      <c r="A217" s="1">
        <v>26481</v>
      </c>
      <c r="B217" t="s">
        <v>109</v>
      </c>
      <c r="C217">
        <v>40</v>
      </c>
      <c r="D217">
        <v>5</v>
      </c>
      <c r="E217" t="str" cm="1">
        <f t="array" ref="E217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18" spans="1:5" x14ac:dyDescent="0.3">
      <c r="A218" s="1">
        <v>26390</v>
      </c>
      <c r="B218" t="s">
        <v>108</v>
      </c>
      <c r="C218">
        <v>40</v>
      </c>
      <c r="D218">
        <v>5</v>
      </c>
      <c r="E218" t="str" cm="1">
        <f t="array" ref="E218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19" spans="1:5" x14ac:dyDescent="0.3">
      <c r="A219" s="1">
        <v>26299</v>
      </c>
      <c r="B219" t="s">
        <v>107</v>
      </c>
      <c r="C219">
        <v>40</v>
      </c>
      <c r="D219">
        <v>5</v>
      </c>
      <c r="E219" t="str" cm="1">
        <f t="array" ref="E219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20" spans="1:5" x14ac:dyDescent="0.3">
      <c r="A220" s="1">
        <v>26207</v>
      </c>
      <c r="B220" t="s">
        <v>106</v>
      </c>
      <c r="C220">
        <v>30</v>
      </c>
      <c r="D220">
        <v>5</v>
      </c>
      <c r="E220" t="str" cm="1">
        <f t="array" ref="E220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21" spans="1:5" x14ac:dyDescent="0.3">
      <c r="A221" s="1">
        <v>26115</v>
      </c>
      <c r="B221" t="s">
        <v>105</v>
      </c>
      <c r="C221">
        <v>30</v>
      </c>
      <c r="D221">
        <v>5</v>
      </c>
      <c r="E221" t="str" cm="1">
        <f t="array" ref="E221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22" spans="1:5" x14ac:dyDescent="0.3">
      <c r="A222" s="1">
        <v>26024</v>
      </c>
      <c r="B222" t="s">
        <v>104</v>
      </c>
      <c r="C222">
        <v>30</v>
      </c>
      <c r="D222">
        <v>5</v>
      </c>
      <c r="E222" t="str" cm="1">
        <f t="array" ref="E222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23" spans="1:5" x14ac:dyDescent="0.3">
      <c r="A223" s="1">
        <v>25934</v>
      </c>
      <c r="B223" t="s">
        <v>103</v>
      </c>
      <c r="C223">
        <v>15</v>
      </c>
      <c r="D223">
        <v>5</v>
      </c>
      <c r="E223" t="str" cm="1">
        <f t="array" ref="E223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24" spans="1:5" x14ac:dyDescent="0.3">
      <c r="A224" s="1">
        <v>25842</v>
      </c>
      <c r="B224" t="s">
        <v>102</v>
      </c>
      <c r="C224">
        <v>0</v>
      </c>
      <c r="D224">
        <v>5</v>
      </c>
      <c r="E224" t="str" cm="1">
        <f t="array" ref="E224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25" spans="1:5" x14ac:dyDescent="0.3">
      <c r="A225" s="1">
        <v>25750</v>
      </c>
      <c r="B225" t="s">
        <v>101</v>
      </c>
      <c r="C225">
        <v>30</v>
      </c>
      <c r="D225">
        <v>5</v>
      </c>
      <c r="E225" t="str" cm="1">
        <f t="array" ref="E225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26" spans="1:5" x14ac:dyDescent="0.3">
      <c r="A226" s="1">
        <v>25659</v>
      </c>
      <c r="B226" t="s">
        <v>100</v>
      </c>
      <c r="C226">
        <v>30</v>
      </c>
      <c r="D226">
        <v>5</v>
      </c>
      <c r="E226" t="str" cm="1">
        <f t="array" ref="E226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27" spans="1:5" x14ac:dyDescent="0.3">
      <c r="A227" s="1">
        <v>25569</v>
      </c>
      <c r="B227" t="s">
        <v>99</v>
      </c>
      <c r="C227">
        <v>35</v>
      </c>
      <c r="D227">
        <v>5</v>
      </c>
      <c r="E227" t="str" cm="1">
        <f t="array" ref="E227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28" spans="1:5" x14ac:dyDescent="0.3">
      <c r="A228" s="1">
        <v>25477</v>
      </c>
      <c r="B228" t="s">
        <v>98</v>
      </c>
      <c r="C228">
        <v>35</v>
      </c>
      <c r="D228">
        <v>5</v>
      </c>
      <c r="E228" t="str" cm="1">
        <f t="array" ref="E228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29" spans="1:5" x14ac:dyDescent="0.3">
      <c r="A229" s="1">
        <v>25385</v>
      </c>
      <c r="B229" t="s">
        <v>97</v>
      </c>
      <c r="C229">
        <v>35</v>
      </c>
      <c r="D229">
        <v>5</v>
      </c>
      <c r="E229" t="str" cm="1">
        <f t="array" ref="E229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30" spans="1:5" x14ac:dyDescent="0.3">
      <c r="A230" s="1">
        <v>25294</v>
      </c>
      <c r="B230" t="s">
        <v>96</v>
      </c>
      <c r="C230">
        <v>45</v>
      </c>
      <c r="D230">
        <v>5</v>
      </c>
      <c r="E230" t="str" cm="1">
        <f t="array" ref="E230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31" spans="1:5" x14ac:dyDescent="0.3">
      <c r="A231" s="1">
        <v>25204</v>
      </c>
      <c r="B231" t="s">
        <v>95</v>
      </c>
      <c r="C231">
        <v>45</v>
      </c>
      <c r="D231">
        <v>5</v>
      </c>
      <c r="E231" t="str" cm="1">
        <f t="array" ref="E231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32" spans="1:5" x14ac:dyDescent="0.3">
      <c r="A232" s="1">
        <v>25112</v>
      </c>
      <c r="B232" t="s">
        <v>94</v>
      </c>
      <c r="C232">
        <v>45</v>
      </c>
      <c r="D232">
        <v>5</v>
      </c>
      <c r="E232" t="str" cm="1">
        <f t="array" ref="E232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33" spans="1:5" x14ac:dyDescent="0.3">
      <c r="A233" s="1">
        <v>25020</v>
      </c>
      <c r="B233" t="s">
        <v>93</v>
      </c>
      <c r="C233">
        <v>45</v>
      </c>
      <c r="D233">
        <v>5</v>
      </c>
      <c r="E233" t="str" cm="1">
        <f t="array" ref="E233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34" spans="1:5" x14ac:dyDescent="0.3">
      <c r="A234" s="1">
        <v>24929</v>
      </c>
      <c r="B234" t="s">
        <v>92</v>
      </c>
      <c r="C234">
        <v>45</v>
      </c>
      <c r="D234">
        <v>5</v>
      </c>
      <c r="E234" t="str" cm="1">
        <f t="array" ref="E234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35" spans="1:5" x14ac:dyDescent="0.3">
      <c r="A235" s="1">
        <v>24838</v>
      </c>
      <c r="B235" t="s">
        <v>91</v>
      </c>
      <c r="C235">
        <v>40</v>
      </c>
      <c r="D235">
        <v>5</v>
      </c>
      <c r="E235" t="str" cm="1">
        <f t="array" ref="E235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36" spans="1:5" x14ac:dyDescent="0.3">
      <c r="A236" s="1">
        <v>24746</v>
      </c>
      <c r="B236" t="s">
        <v>90</v>
      </c>
      <c r="C236">
        <v>30</v>
      </c>
      <c r="D236">
        <v>5</v>
      </c>
      <c r="E236" t="str" cm="1">
        <f t="array" ref="E236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37" spans="1:5" x14ac:dyDescent="0.3">
      <c r="A237" s="1">
        <v>24654</v>
      </c>
      <c r="B237" t="s">
        <v>89</v>
      </c>
      <c r="C237">
        <v>30</v>
      </c>
      <c r="D237">
        <v>5</v>
      </c>
      <c r="E237" t="str" cm="1">
        <f t="array" ref="E237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38" spans="1:5" x14ac:dyDescent="0.3">
      <c r="A238" s="1">
        <v>24563</v>
      </c>
      <c r="B238" t="s">
        <v>88</v>
      </c>
      <c r="C238">
        <v>30</v>
      </c>
      <c r="D238">
        <v>5</v>
      </c>
      <c r="E238" t="str" cm="1">
        <f t="array" ref="E238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39" spans="1:5" x14ac:dyDescent="0.3">
      <c r="A239" s="1">
        <v>24473</v>
      </c>
      <c r="B239" t="s">
        <v>87</v>
      </c>
      <c r="C239">
        <v>45</v>
      </c>
      <c r="D239">
        <v>5</v>
      </c>
      <c r="E239" t="str" cm="1">
        <f t="array" ref="E239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40" spans="1:5" x14ac:dyDescent="0.3">
      <c r="A240" s="1">
        <v>24381</v>
      </c>
      <c r="B240" t="s">
        <v>86</v>
      </c>
      <c r="C240">
        <v>45</v>
      </c>
      <c r="D240">
        <v>5</v>
      </c>
      <c r="E240" t="str" cm="1">
        <f t="array" ref="E240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41" spans="1:5" x14ac:dyDescent="0.3">
      <c r="A241" s="1">
        <v>24289</v>
      </c>
      <c r="B241" t="s">
        <v>85</v>
      </c>
      <c r="C241">
        <v>45</v>
      </c>
      <c r="D241">
        <v>5</v>
      </c>
      <c r="E241" t="str" cm="1">
        <f t="array" ref="E241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42" spans="1:5" x14ac:dyDescent="0.3">
      <c r="A242" s="1">
        <v>24198</v>
      </c>
      <c r="B242" t="s">
        <v>84</v>
      </c>
      <c r="C242">
        <v>45</v>
      </c>
      <c r="D242">
        <v>5</v>
      </c>
      <c r="E242" t="str" cm="1">
        <f t="array" ref="E242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43" spans="1:5" x14ac:dyDescent="0.3">
      <c r="A243" s="1">
        <v>24108</v>
      </c>
      <c r="B243" t="s">
        <v>83</v>
      </c>
      <c r="C243">
        <v>45</v>
      </c>
      <c r="D243">
        <v>5</v>
      </c>
      <c r="E243" t="str" cm="1">
        <f t="array" ref="E243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44" spans="1:5" x14ac:dyDescent="0.3">
      <c r="A244" s="1">
        <v>24016</v>
      </c>
      <c r="B244" t="s">
        <v>82</v>
      </c>
      <c r="C244">
        <v>45</v>
      </c>
      <c r="D244">
        <v>5</v>
      </c>
      <c r="E244" t="str" cm="1">
        <f t="array" ref="E244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45" spans="1:5" x14ac:dyDescent="0.3">
      <c r="A245" s="1">
        <v>23924</v>
      </c>
      <c r="B245" t="s">
        <v>81</v>
      </c>
      <c r="C245">
        <v>45</v>
      </c>
      <c r="D245">
        <v>5</v>
      </c>
      <c r="E245" t="str" cm="1">
        <f t="array" ref="E245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46" spans="1:5" x14ac:dyDescent="0.3">
      <c r="A246" s="1">
        <v>23833</v>
      </c>
      <c r="B246" t="s">
        <v>80</v>
      </c>
      <c r="C246">
        <v>45</v>
      </c>
      <c r="D246">
        <v>5</v>
      </c>
      <c r="E246" t="str" cm="1">
        <f t="array" ref="E246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47" spans="1:5" x14ac:dyDescent="0.3">
      <c r="A247" s="1">
        <v>23743</v>
      </c>
      <c r="B247" t="s">
        <v>79</v>
      </c>
      <c r="C247">
        <v>45</v>
      </c>
      <c r="D247">
        <v>5</v>
      </c>
      <c r="E247" t="str" cm="1">
        <f t="array" ref="E247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48" spans="1:5" x14ac:dyDescent="0.3">
      <c r="A248" s="1">
        <v>23651</v>
      </c>
      <c r="B248" t="s">
        <v>78</v>
      </c>
      <c r="C248">
        <v>45</v>
      </c>
      <c r="D248">
        <v>5</v>
      </c>
      <c r="E248" t="str" cm="1">
        <f t="array" ref="E248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49" spans="1:5" x14ac:dyDescent="0.3">
      <c r="A249" s="1">
        <v>23559</v>
      </c>
      <c r="B249" t="s">
        <v>77</v>
      </c>
      <c r="C249">
        <v>45</v>
      </c>
      <c r="D249">
        <v>5</v>
      </c>
      <c r="E249" t="str" cm="1">
        <f t="array" ref="E249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50" spans="1:5" x14ac:dyDescent="0.3">
      <c r="A250" s="1">
        <v>23468</v>
      </c>
      <c r="B250" t="s">
        <v>76</v>
      </c>
      <c r="C250">
        <v>45</v>
      </c>
      <c r="D250">
        <v>5</v>
      </c>
      <c r="E250" t="str" cm="1">
        <f t="array" ref="E250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51" spans="1:5" x14ac:dyDescent="0.3">
      <c r="A251" s="1">
        <v>23377</v>
      </c>
      <c r="B251" t="s">
        <v>75</v>
      </c>
      <c r="C251">
        <v>45</v>
      </c>
      <c r="D251">
        <v>5</v>
      </c>
      <c r="E251" t="str" cm="1">
        <f t="array" ref="E251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52" spans="1:5" x14ac:dyDescent="0.3">
      <c r="A252" s="1">
        <v>23285</v>
      </c>
      <c r="B252" t="s">
        <v>74</v>
      </c>
      <c r="C252">
        <v>35</v>
      </c>
      <c r="D252">
        <v>5</v>
      </c>
      <c r="E252" t="str" cm="1">
        <f t="array" ref="E252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53" spans="1:5" x14ac:dyDescent="0.3">
      <c r="A253" s="1">
        <v>23193</v>
      </c>
      <c r="B253" t="s">
        <v>73</v>
      </c>
      <c r="C253">
        <v>45</v>
      </c>
      <c r="D253">
        <v>5</v>
      </c>
      <c r="E253" t="str" cm="1">
        <f t="array" ref="E253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54" spans="1:5" x14ac:dyDescent="0.3">
      <c r="A254" s="1">
        <v>23102</v>
      </c>
      <c r="B254" t="s">
        <v>72</v>
      </c>
      <c r="C254">
        <v>35</v>
      </c>
      <c r="D254">
        <v>5</v>
      </c>
      <c r="E254" t="str" cm="1">
        <f t="array" ref="E254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55" spans="1:5" x14ac:dyDescent="0.3">
      <c r="A255" s="1">
        <v>23012</v>
      </c>
      <c r="B255" t="s">
        <v>71</v>
      </c>
      <c r="C255">
        <v>35</v>
      </c>
      <c r="D255">
        <v>5</v>
      </c>
      <c r="E255" t="str" cm="1">
        <f t="array" ref="E255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56" spans="1:5" x14ac:dyDescent="0.3">
      <c r="A256" s="1">
        <v>22920</v>
      </c>
      <c r="B256" t="s">
        <v>70</v>
      </c>
      <c r="C256">
        <v>45</v>
      </c>
      <c r="D256">
        <v>5</v>
      </c>
      <c r="E256" t="str" cm="1">
        <f t="array" ref="E256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57" spans="1:5" x14ac:dyDescent="0.3">
      <c r="A257" s="1">
        <v>22828</v>
      </c>
      <c r="B257" t="s">
        <v>69</v>
      </c>
      <c r="C257">
        <v>45</v>
      </c>
      <c r="D257">
        <v>5</v>
      </c>
      <c r="E257" t="str" cm="1">
        <f t="array" ref="E257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58" spans="1:5" x14ac:dyDescent="0.3">
      <c r="A258" s="1">
        <v>22737</v>
      </c>
      <c r="B258" t="s">
        <v>68</v>
      </c>
      <c r="C258">
        <v>45</v>
      </c>
      <c r="D258">
        <v>5</v>
      </c>
      <c r="E258" t="str" cm="1">
        <f t="array" ref="E258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59" spans="1:5" x14ac:dyDescent="0.3">
      <c r="A259" s="1">
        <v>22647</v>
      </c>
      <c r="B259" t="s">
        <v>67</v>
      </c>
      <c r="C259">
        <v>45</v>
      </c>
      <c r="D259">
        <v>5</v>
      </c>
      <c r="E259" t="str" cm="1">
        <f t="array" ref="E259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60" spans="1:5" x14ac:dyDescent="0.3">
      <c r="A260" s="1">
        <v>22555</v>
      </c>
      <c r="B260" t="s">
        <v>66</v>
      </c>
      <c r="C260">
        <v>45</v>
      </c>
      <c r="D260">
        <v>5</v>
      </c>
      <c r="E260" t="str" cm="1">
        <f t="array" ref="E260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61" spans="1:5" x14ac:dyDescent="0.3">
      <c r="A261" s="1">
        <v>22463</v>
      </c>
      <c r="B261" t="s">
        <v>65</v>
      </c>
      <c r="C261">
        <v>15</v>
      </c>
      <c r="D261">
        <v>5</v>
      </c>
      <c r="E261" t="str" cm="1">
        <f t="array" ref="E261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62" spans="1:5" x14ac:dyDescent="0.3">
      <c r="A262" s="1">
        <v>22372</v>
      </c>
      <c r="B262" t="s">
        <v>64</v>
      </c>
      <c r="C262">
        <v>15</v>
      </c>
      <c r="D262">
        <v>5</v>
      </c>
      <c r="E262" t="str" cm="1">
        <f t="array" ref="E262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63" spans="1:5" x14ac:dyDescent="0.3">
      <c r="A263" s="1">
        <v>22282</v>
      </c>
      <c r="B263" t="s">
        <v>63</v>
      </c>
      <c r="C263">
        <v>0</v>
      </c>
      <c r="D263">
        <v>5</v>
      </c>
      <c r="E263" t="str" cm="1">
        <f t="array" ref="E263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64" spans="1:5" x14ac:dyDescent="0.3">
      <c r="A264" s="1">
        <v>22190</v>
      </c>
      <c r="B264" t="s">
        <v>62</v>
      </c>
      <c r="C264">
        <v>30</v>
      </c>
      <c r="D264">
        <v>5</v>
      </c>
      <c r="E264" t="str" cm="1">
        <f t="array" ref="E264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65" spans="1:5" x14ac:dyDescent="0.3">
      <c r="A265" s="1">
        <v>22098</v>
      </c>
      <c r="B265" t="s">
        <v>61</v>
      </c>
      <c r="C265">
        <v>30</v>
      </c>
      <c r="D265">
        <v>5</v>
      </c>
      <c r="E265" t="str" cm="1">
        <f t="array" ref="E265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66" spans="1:5" x14ac:dyDescent="0.3">
      <c r="A266" s="1">
        <v>22007</v>
      </c>
      <c r="B266" t="s">
        <v>60</v>
      </c>
      <c r="C266">
        <v>35</v>
      </c>
      <c r="D266">
        <v>5</v>
      </c>
      <c r="E266" t="str" cm="1">
        <f t="array" ref="E266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67" spans="1:5" x14ac:dyDescent="0.3">
      <c r="A267" s="1">
        <v>21916</v>
      </c>
      <c r="B267" t="s">
        <v>59</v>
      </c>
      <c r="C267">
        <v>45</v>
      </c>
      <c r="D267">
        <v>5</v>
      </c>
      <c r="E267" t="str" cm="1">
        <f t="array" ref="E267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68" spans="1:5" x14ac:dyDescent="0.3">
      <c r="A268" s="1">
        <v>21824</v>
      </c>
      <c r="B268" t="s">
        <v>58</v>
      </c>
      <c r="C268">
        <v>45</v>
      </c>
      <c r="D268">
        <v>5</v>
      </c>
      <c r="E268" t="str" cm="1">
        <f t="array" ref="E268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69" spans="1:5" x14ac:dyDescent="0.3">
      <c r="A269" s="1">
        <v>21732</v>
      </c>
      <c r="B269" t="s">
        <v>57</v>
      </c>
      <c r="C269">
        <v>45</v>
      </c>
      <c r="D269">
        <v>5</v>
      </c>
      <c r="E269" t="str" cm="1">
        <f t="array" ref="E269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70" spans="1:5" x14ac:dyDescent="0.3">
      <c r="A270" s="1">
        <v>21641</v>
      </c>
      <c r="B270" t="s">
        <v>56</v>
      </c>
      <c r="C270">
        <v>45</v>
      </c>
      <c r="D270">
        <v>5</v>
      </c>
      <c r="E270" t="str" cm="1">
        <f t="array" ref="E270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71" spans="1:5" x14ac:dyDescent="0.3">
      <c r="A271" s="1">
        <v>21551</v>
      </c>
      <c r="B271" t="s">
        <v>55</v>
      </c>
      <c r="C271">
        <v>45</v>
      </c>
      <c r="D271">
        <v>5</v>
      </c>
      <c r="E271" t="str" cm="1">
        <f t="array" ref="E271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72" spans="1:5" x14ac:dyDescent="0.3">
      <c r="A272" s="1">
        <v>21459</v>
      </c>
      <c r="B272" t="s">
        <v>54</v>
      </c>
      <c r="C272">
        <v>15</v>
      </c>
      <c r="D272">
        <v>5</v>
      </c>
      <c r="E272" t="str" cm="1">
        <f t="array" ref="E272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73" spans="1:5" x14ac:dyDescent="0.3">
      <c r="A273" s="1">
        <v>21367</v>
      </c>
      <c r="B273" t="s">
        <v>53</v>
      </c>
      <c r="C273">
        <v>0</v>
      </c>
      <c r="D273">
        <v>5</v>
      </c>
      <c r="E273" t="str" cm="1">
        <f t="array" ref="E273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74" spans="1:5" x14ac:dyDescent="0.3">
      <c r="A274" s="1">
        <v>21276</v>
      </c>
      <c r="B274" t="s">
        <v>52</v>
      </c>
      <c r="C274">
        <v>0</v>
      </c>
      <c r="D274">
        <v>5</v>
      </c>
      <c r="E274" t="str" cm="1">
        <f t="array" ref="E274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75" spans="1:5" x14ac:dyDescent="0.3">
      <c r="A275" s="1">
        <v>21186</v>
      </c>
      <c r="B275" t="s">
        <v>51</v>
      </c>
      <c r="C275">
        <v>0</v>
      </c>
      <c r="D275">
        <v>5</v>
      </c>
      <c r="E275" t="str" cm="1">
        <f t="array" ref="E275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76" spans="1:5" x14ac:dyDescent="0.3">
      <c r="A276" s="1">
        <v>21094</v>
      </c>
      <c r="B276" t="s">
        <v>50</v>
      </c>
      <c r="C276">
        <v>20</v>
      </c>
      <c r="D276">
        <v>5</v>
      </c>
      <c r="E276" t="str" cm="1">
        <f t="array" ref="E276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77" spans="1:5" x14ac:dyDescent="0.3">
      <c r="A277" s="1">
        <v>21002</v>
      </c>
      <c r="B277" t="s">
        <v>49</v>
      </c>
      <c r="C277">
        <v>35</v>
      </c>
      <c r="D277">
        <v>5</v>
      </c>
      <c r="E277" t="str" cm="1">
        <f t="array" ref="E277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78" spans="1:5" x14ac:dyDescent="0.3">
      <c r="A278" s="1">
        <v>20911</v>
      </c>
      <c r="B278" t="s">
        <v>48</v>
      </c>
      <c r="C278">
        <v>45</v>
      </c>
      <c r="D278">
        <v>5</v>
      </c>
      <c r="E278" t="str" cm="1">
        <f t="array" ref="E278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79" spans="1:5" x14ac:dyDescent="0.3">
      <c r="A279" s="1">
        <v>20821</v>
      </c>
      <c r="B279" t="s">
        <v>47</v>
      </c>
      <c r="C279">
        <v>45</v>
      </c>
      <c r="D279">
        <v>5</v>
      </c>
      <c r="E279" t="str" cm="1">
        <f t="array" ref="E279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80" spans="1:5" x14ac:dyDescent="0.3">
      <c r="A280" s="1">
        <v>20729</v>
      </c>
      <c r="B280" t="s">
        <v>46</v>
      </c>
      <c r="C280">
        <v>45</v>
      </c>
      <c r="D280">
        <v>4</v>
      </c>
      <c r="E280" t="str" cm="1">
        <f t="array" ref="E280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81" spans="1:5" x14ac:dyDescent="0.3">
      <c r="A281" s="1">
        <v>20637</v>
      </c>
      <c r="B281" t="s">
        <v>45</v>
      </c>
      <c r="C281">
        <v>35</v>
      </c>
      <c r="D281">
        <v>4</v>
      </c>
      <c r="E281" t="str" cm="1">
        <f t="array" ref="E281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82" spans="1:5" x14ac:dyDescent="0.3">
      <c r="A282" s="1">
        <v>20546</v>
      </c>
      <c r="B282" t="s">
        <v>44</v>
      </c>
      <c r="C282">
        <v>45</v>
      </c>
      <c r="D282">
        <v>4</v>
      </c>
      <c r="E282" t="str" cm="1">
        <f t="array" ref="E282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83" spans="1:5" x14ac:dyDescent="0.3">
      <c r="A283" s="1">
        <v>20455</v>
      </c>
      <c r="B283" t="s">
        <v>43</v>
      </c>
      <c r="C283">
        <v>45</v>
      </c>
      <c r="D283">
        <v>4</v>
      </c>
      <c r="E283" t="str" cm="1">
        <f t="array" ref="E283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84" spans="1:5" x14ac:dyDescent="0.3">
      <c r="A284" s="1">
        <v>20363</v>
      </c>
      <c r="B284" t="s">
        <v>42</v>
      </c>
      <c r="C284">
        <v>45</v>
      </c>
      <c r="D284">
        <v>4</v>
      </c>
      <c r="E284" t="str" cm="1">
        <f t="array" ref="E284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85" spans="1:5" x14ac:dyDescent="0.3">
      <c r="A285" s="1">
        <v>20271</v>
      </c>
      <c r="B285" t="s">
        <v>41</v>
      </c>
      <c r="C285">
        <v>45</v>
      </c>
      <c r="D285">
        <v>4</v>
      </c>
      <c r="E285" t="str" cm="1">
        <f t="array" ref="E285">_xlfn.IFS(economy_score[[#This Row],[economic_score]]&lt;=40, "Bad", AND(economy_score[[#This Row],[economic_score]]&gt;40, economy_score[[#This Row],[economic_score]]&lt;= 60), "Stable", economy_score[[#This Row],[economic_score]] &gt; 60, "Growing")</f>
        <v>Stable</v>
      </c>
    </row>
    <row r="286" spans="1:5" x14ac:dyDescent="0.3">
      <c r="A286" s="1">
        <v>20180</v>
      </c>
      <c r="B286" t="s">
        <v>40</v>
      </c>
      <c r="C286">
        <v>40</v>
      </c>
      <c r="D286">
        <v>4</v>
      </c>
      <c r="E286" t="str" cm="1">
        <f t="array" ref="E286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87" spans="1:5" x14ac:dyDescent="0.3">
      <c r="A287" s="1">
        <v>20090</v>
      </c>
      <c r="B287" t="s">
        <v>39</v>
      </c>
      <c r="C287">
        <v>40</v>
      </c>
      <c r="D287">
        <v>4</v>
      </c>
      <c r="E287" t="str" cm="1">
        <f t="array" ref="E287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88" spans="1:5" x14ac:dyDescent="0.3">
      <c r="A288" s="1">
        <v>19998</v>
      </c>
      <c r="B288" t="s">
        <v>38</v>
      </c>
      <c r="C288">
        <v>15</v>
      </c>
      <c r="D288">
        <v>4</v>
      </c>
      <c r="E288" t="str" cm="1">
        <f t="array" ref="E288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89" spans="1:5" x14ac:dyDescent="0.3">
      <c r="A289" s="1">
        <v>19906</v>
      </c>
      <c r="B289" t="s">
        <v>37</v>
      </c>
      <c r="C289">
        <v>0</v>
      </c>
      <c r="D289">
        <v>4</v>
      </c>
      <c r="E289" t="str" cm="1">
        <f t="array" ref="E289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90" spans="1:5" x14ac:dyDescent="0.3">
      <c r="A290" s="1">
        <v>19815</v>
      </c>
      <c r="B290" t="s">
        <v>36</v>
      </c>
      <c r="C290">
        <v>0</v>
      </c>
      <c r="D290">
        <v>3</v>
      </c>
      <c r="E290" t="str" cm="1">
        <f t="array" ref="E290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91" spans="1:5" x14ac:dyDescent="0.3">
      <c r="A291" s="1">
        <v>19725</v>
      </c>
      <c r="B291" t="s">
        <v>35</v>
      </c>
      <c r="C291">
        <v>0</v>
      </c>
      <c r="D291">
        <v>3</v>
      </c>
      <c r="E291" t="str" cm="1">
        <f t="array" ref="E291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92" spans="1:5" x14ac:dyDescent="0.3">
      <c r="A292" s="1">
        <v>19633</v>
      </c>
      <c r="B292" t="s">
        <v>34</v>
      </c>
      <c r="C292">
        <v>30</v>
      </c>
      <c r="D292">
        <v>3</v>
      </c>
      <c r="E292" t="str" cm="1">
        <f t="array" ref="E292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93" spans="1:5" x14ac:dyDescent="0.3">
      <c r="A293" s="1">
        <v>19541</v>
      </c>
      <c r="B293" t="s">
        <v>33</v>
      </c>
      <c r="C293">
        <v>40</v>
      </c>
      <c r="D293">
        <v>3</v>
      </c>
      <c r="E293" t="str" cm="1">
        <f t="array" ref="E293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94" spans="1:5" x14ac:dyDescent="0.3">
      <c r="A294" s="1">
        <v>19450</v>
      </c>
      <c r="B294" t="s">
        <v>32</v>
      </c>
      <c r="C294">
        <v>40</v>
      </c>
      <c r="D294">
        <v>3</v>
      </c>
      <c r="E294" t="str" cm="1">
        <f t="array" ref="E294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95" spans="1:5" x14ac:dyDescent="0.3">
      <c r="A295" s="1">
        <v>19360</v>
      </c>
      <c r="B295" t="s">
        <v>31</v>
      </c>
      <c r="C295">
        <v>40</v>
      </c>
      <c r="D295">
        <v>3</v>
      </c>
      <c r="E295" t="str" cm="1">
        <f t="array" ref="E295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96" spans="1:5" x14ac:dyDescent="0.3">
      <c r="A296" s="1">
        <v>19268</v>
      </c>
      <c r="B296" t="s">
        <v>30</v>
      </c>
      <c r="C296">
        <v>40</v>
      </c>
      <c r="D296">
        <v>3</v>
      </c>
      <c r="E296" t="str" cm="1">
        <f t="array" ref="E296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97" spans="1:5" x14ac:dyDescent="0.3">
      <c r="A297" s="1">
        <v>19176</v>
      </c>
      <c r="B297" t="s">
        <v>29</v>
      </c>
      <c r="C297">
        <v>30</v>
      </c>
      <c r="D297">
        <v>3</v>
      </c>
      <c r="E297" t="str" cm="1">
        <f t="array" ref="E297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98" spans="1:5" x14ac:dyDescent="0.3">
      <c r="A298" s="1">
        <v>19085</v>
      </c>
      <c r="B298" t="s">
        <v>28</v>
      </c>
      <c r="C298">
        <v>40</v>
      </c>
      <c r="D298">
        <v>3</v>
      </c>
      <c r="E298" t="str" cm="1">
        <f t="array" ref="E298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299" spans="1:5" x14ac:dyDescent="0.3">
      <c r="A299" s="1">
        <v>18994</v>
      </c>
      <c r="B299" t="s">
        <v>27</v>
      </c>
      <c r="C299">
        <v>40</v>
      </c>
      <c r="D299">
        <v>3</v>
      </c>
      <c r="E299" t="str" cm="1">
        <f t="array" ref="E299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00" spans="1:5" x14ac:dyDescent="0.3">
      <c r="A300" s="1">
        <v>18902</v>
      </c>
      <c r="B300" t="s">
        <v>26</v>
      </c>
      <c r="C300">
        <v>40</v>
      </c>
      <c r="D300">
        <v>3</v>
      </c>
      <c r="E300" t="str" cm="1">
        <f t="array" ref="E300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01" spans="1:5" x14ac:dyDescent="0.3">
      <c r="A301" s="1">
        <v>18810</v>
      </c>
      <c r="B301" t="s">
        <v>25</v>
      </c>
      <c r="C301">
        <v>40</v>
      </c>
      <c r="D301">
        <v>3</v>
      </c>
      <c r="E301" t="str" cm="1">
        <f t="array" ref="E301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02" spans="1:5" x14ac:dyDescent="0.3">
      <c r="A302" s="1">
        <v>18719</v>
      </c>
      <c r="B302" t="s">
        <v>24</v>
      </c>
      <c r="C302">
        <v>40</v>
      </c>
      <c r="D302">
        <v>3</v>
      </c>
      <c r="E302" t="str" cm="1">
        <f t="array" ref="E302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03" spans="1:5" x14ac:dyDescent="0.3">
      <c r="A303" s="1">
        <v>18629</v>
      </c>
      <c r="B303" t="s">
        <v>23</v>
      </c>
      <c r="C303">
        <v>40</v>
      </c>
      <c r="D303">
        <v>3</v>
      </c>
      <c r="E303" t="str" cm="1">
        <f t="array" ref="E303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04" spans="1:5" x14ac:dyDescent="0.3">
      <c r="A304" s="1">
        <v>18537</v>
      </c>
      <c r="B304" t="s">
        <v>22</v>
      </c>
      <c r="C304">
        <v>40</v>
      </c>
      <c r="D304">
        <v>3</v>
      </c>
      <c r="E304" t="str" cm="1">
        <f t="array" ref="E304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05" spans="1:5" x14ac:dyDescent="0.3">
      <c r="A305" s="1">
        <v>18445</v>
      </c>
      <c r="B305" t="s">
        <v>21</v>
      </c>
      <c r="C305">
        <v>40</v>
      </c>
      <c r="D305">
        <v>3</v>
      </c>
      <c r="E305" t="str" cm="1">
        <f t="array" ref="E305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06" spans="1:5" x14ac:dyDescent="0.3">
      <c r="A306" s="1">
        <v>18354</v>
      </c>
      <c r="B306" t="s">
        <v>20</v>
      </c>
      <c r="C306">
        <v>40</v>
      </c>
      <c r="D306">
        <v>3</v>
      </c>
      <c r="E306" t="str" cm="1">
        <f t="array" ref="E306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07" spans="1:5" x14ac:dyDescent="0.3">
      <c r="A307" s="1">
        <v>18264</v>
      </c>
      <c r="B307" t="s">
        <v>19</v>
      </c>
      <c r="C307">
        <v>15</v>
      </c>
      <c r="D307">
        <v>3</v>
      </c>
      <c r="E307" t="str" cm="1">
        <f t="array" ref="E307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08" spans="1:5" x14ac:dyDescent="0.3">
      <c r="A308" s="1">
        <v>18172</v>
      </c>
      <c r="B308" t="s">
        <v>18</v>
      </c>
      <c r="C308">
        <v>0</v>
      </c>
      <c r="D308">
        <v>3</v>
      </c>
      <c r="E308" t="str" cm="1">
        <f t="array" ref="E308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09" spans="1:5" x14ac:dyDescent="0.3">
      <c r="A309" s="1">
        <v>18080</v>
      </c>
      <c r="B309" t="s">
        <v>17</v>
      </c>
      <c r="C309">
        <v>0</v>
      </c>
      <c r="D309">
        <v>3</v>
      </c>
      <c r="E309" t="str" cm="1">
        <f t="array" ref="E309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10" spans="1:5" x14ac:dyDescent="0.3">
      <c r="A310" s="1">
        <v>17989</v>
      </c>
      <c r="B310" t="s">
        <v>16</v>
      </c>
      <c r="C310">
        <v>0</v>
      </c>
      <c r="D310">
        <v>3</v>
      </c>
      <c r="E310" t="str" cm="1">
        <f t="array" ref="E310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11" spans="1:5" x14ac:dyDescent="0.3">
      <c r="A311" s="1">
        <v>17899</v>
      </c>
      <c r="B311" t="s">
        <v>15</v>
      </c>
      <c r="C311">
        <v>15</v>
      </c>
      <c r="D311">
        <v>3</v>
      </c>
      <c r="E311" t="str" cm="1">
        <f t="array" ref="E311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12" spans="1:5" x14ac:dyDescent="0.3">
      <c r="A312" s="1">
        <v>17807</v>
      </c>
      <c r="B312" t="s">
        <v>14</v>
      </c>
      <c r="C312">
        <v>30</v>
      </c>
      <c r="D312">
        <v>3</v>
      </c>
      <c r="E312" t="str" cm="1">
        <f t="array" ref="E312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13" spans="1:5" x14ac:dyDescent="0.3">
      <c r="A313" s="1">
        <v>17715</v>
      </c>
      <c r="B313" t="s">
        <v>13</v>
      </c>
      <c r="C313">
        <v>30</v>
      </c>
      <c r="D313">
        <v>3</v>
      </c>
      <c r="E313" t="str" cm="1">
        <f t="array" ref="E313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14" spans="1:5" x14ac:dyDescent="0.3">
      <c r="A314" s="1">
        <v>17624</v>
      </c>
      <c r="B314" t="s">
        <v>12</v>
      </c>
      <c r="C314">
        <v>30</v>
      </c>
      <c r="D314">
        <v>3</v>
      </c>
      <c r="E314" t="str" cm="1">
        <f t="array" ref="E314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15" spans="1:5" x14ac:dyDescent="0.3">
      <c r="A315" s="1">
        <v>17533</v>
      </c>
      <c r="B315" t="s">
        <v>11</v>
      </c>
      <c r="C315">
        <v>30</v>
      </c>
      <c r="D315">
        <v>3</v>
      </c>
      <c r="E315" t="str" cm="1">
        <f t="array" ref="E315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16" spans="1:5" x14ac:dyDescent="0.3">
      <c r="A316" s="1">
        <v>17441</v>
      </c>
      <c r="B316" t="s">
        <v>10</v>
      </c>
      <c r="C316">
        <v>15</v>
      </c>
      <c r="D316">
        <v>2</v>
      </c>
      <c r="E316" t="str" cm="1">
        <f t="array" ref="E316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17" spans="1:5" x14ac:dyDescent="0.3">
      <c r="A317" s="1">
        <v>17349</v>
      </c>
      <c r="B317" t="s">
        <v>9</v>
      </c>
      <c r="C317">
        <v>15</v>
      </c>
      <c r="D317">
        <v>2</v>
      </c>
      <c r="E317" t="str" cm="1">
        <f t="array" ref="E317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18" spans="1:5" x14ac:dyDescent="0.3">
      <c r="A318" s="1">
        <v>17258</v>
      </c>
      <c r="B318" t="s">
        <v>8</v>
      </c>
      <c r="C318">
        <v>15</v>
      </c>
      <c r="D318">
        <v>2</v>
      </c>
      <c r="E318" t="str" cm="1">
        <f t="array" ref="E318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19" spans="1:5" x14ac:dyDescent="0.3">
      <c r="A319" s="1">
        <v>17168</v>
      </c>
      <c r="B319" t="s">
        <v>7</v>
      </c>
      <c r="C319">
        <v>15</v>
      </c>
      <c r="D319">
        <v>2</v>
      </c>
      <c r="E319" t="str" cm="1">
        <f t="array" ref="E319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20" spans="1:5" x14ac:dyDescent="0.3">
      <c r="A320" s="1">
        <v>17076</v>
      </c>
      <c r="B320" t="s">
        <v>370</v>
      </c>
      <c r="C320">
        <v>15</v>
      </c>
      <c r="D320">
        <v>1</v>
      </c>
      <c r="E320" t="str" cm="1">
        <f t="array" ref="E320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21" spans="1:5" x14ac:dyDescent="0.3">
      <c r="A321" s="1">
        <v>16984</v>
      </c>
      <c r="B321" t="s">
        <v>369</v>
      </c>
      <c r="C321">
        <v>15</v>
      </c>
      <c r="D321">
        <v>1</v>
      </c>
      <c r="E321" t="str" cm="1">
        <f t="array" ref="E321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22" spans="1:5" x14ac:dyDescent="0.3">
      <c r="A322" s="1">
        <v>16893</v>
      </c>
      <c r="B322" t="s">
        <v>368</v>
      </c>
      <c r="C322">
        <v>15</v>
      </c>
      <c r="D322">
        <v>1</v>
      </c>
      <c r="E322" t="str" cm="1">
        <f t="array" ref="E322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23" spans="1:5" x14ac:dyDescent="0.3">
      <c r="A323" s="1">
        <v>16803</v>
      </c>
      <c r="B323" t="s">
        <v>367</v>
      </c>
      <c r="C323">
        <v>0</v>
      </c>
      <c r="D323">
        <v>1</v>
      </c>
      <c r="E323" t="str" cm="1">
        <f t="array" ref="E323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24" spans="1:5" x14ac:dyDescent="0.3">
      <c r="A324" s="1">
        <v>16711</v>
      </c>
      <c r="B324" t="s">
        <v>366</v>
      </c>
      <c r="C324">
        <v>0</v>
      </c>
      <c r="D324">
        <v>1</v>
      </c>
      <c r="E324" t="str" cm="1">
        <f t="array" ref="E324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25" spans="1:5" x14ac:dyDescent="0.3">
      <c r="A325" s="1">
        <v>16619</v>
      </c>
      <c r="B325" t="s">
        <v>365</v>
      </c>
      <c r="C325">
        <v>0</v>
      </c>
      <c r="D325">
        <v>1</v>
      </c>
      <c r="E325" t="str" cm="1">
        <f t="array" ref="E325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26" spans="1:5" x14ac:dyDescent="0.3">
      <c r="A326" s="1">
        <v>16528</v>
      </c>
      <c r="B326" t="s">
        <v>364</v>
      </c>
      <c r="C326">
        <v>0</v>
      </c>
      <c r="D326">
        <v>1</v>
      </c>
      <c r="E326" t="str" cm="1">
        <f t="array" ref="E326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27" spans="1:5" x14ac:dyDescent="0.3">
      <c r="A327" s="1">
        <v>16438</v>
      </c>
      <c r="B327" t="s">
        <v>363</v>
      </c>
      <c r="C327">
        <v>0</v>
      </c>
      <c r="D327">
        <v>1</v>
      </c>
      <c r="E327" t="str" cm="1">
        <f t="array" ref="E327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28" spans="1:5" x14ac:dyDescent="0.3">
      <c r="A328" s="1">
        <v>16346</v>
      </c>
      <c r="B328" t="s">
        <v>362</v>
      </c>
      <c r="C328">
        <v>0</v>
      </c>
      <c r="D328">
        <v>1</v>
      </c>
      <c r="E328" t="str" cm="1">
        <f t="array" ref="E328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29" spans="1:5" x14ac:dyDescent="0.3">
      <c r="A329" s="1">
        <v>16254</v>
      </c>
      <c r="B329" t="s">
        <v>361</v>
      </c>
      <c r="C329">
        <v>0</v>
      </c>
      <c r="D329">
        <v>1</v>
      </c>
      <c r="E329" t="str" cm="1">
        <f t="array" ref="E329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30" spans="1:5" x14ac:dyDescent="0.3">
      <c r="A330" s="1">
        <v>16163</v>
      </c>
      <c r="B330" t="s">
        <v>360</v>
      </c>
      <c r="C330">
        <v>0</v>
      </c>
      <c r="D330">
        <v>1</v>
      </c>
      <c r="E330" t="str" cm="1">
        <f t="array" ref="E330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31" spans="1:5" x14ac:dyDescent="0.3">
      <c r="A331" s="1">
        <v>16072</v>
      </c>
      <c r="B331" t="s">
        <v>359</v>
      </c>
      <c r="C331">
        <v>15</v>
      </c>
      <c r="D331">
        <v>1</v>
      </c>
      <c r="E331" t="str" cm="1">
        <f t="array" ref="E331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32" spans="1:5" x14ac:dyDescent="0.3">
      <c r="A332" s="1">
        <v>15980</v>
      </c>
      <c r="B332" t="s">
        <v>358</v>
      </c>
      <c r="C332">
        <v>15</v>
      </c>
      <c r="D332">
        <v>1</v>
      </c>
      <c r="E332" t="str" cm="1">
        <f t="array" ref="E332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33" spans="1:5" x14ac:dyDescent="0.3">
      <c r="A333" s="1">
        <v>15888</v>
      </c>
      <c r="B333" t="s">
        <v>357</v>
      </c>
      <c r="C333">
        <v>15</v>
      </c>
      <c r="D333">
        <v>1</v>
      </c>
      <c r="E333" t="str" cm="1">
        <f t="array" ref="E333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34" spans="1:5" x14ac:dyDescent="0.3">
      <c r="A334" s="1">
        <v>15797</v>
      </c>
      <c r="B334" t="s">
        <v>356</v>
      </c>
      <c r="C334">
        <v>15</v>
      </c>
      <c r="D334">
        <v>1</v>
      </c>
      <c r="E334" t="str" cm="1">
        <f t="array" ref="E334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35" spans="1:5" x14ac:dyDescent="0.3">
      <c r="A335" s="1">
        <v>15707</v>
      </c>
      <c r="B335" t="s">
        <v>355</v>
      </c>
      <c r="C335">
        <v>15</v>
      </c>
      <c r="D335">
        <v>1</v>
      </c>
      <c r="E335" t="str" cm="1">
        <f t="array" ref="E335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36" spans="1:5" x14ac:dyDescent="0.3">
      <c r="A336" s="1">
        <v>15615</v>
      </c>
      <c r="B336" t="s">
        <v>354</v>
      </c>
      <c r="C336">
        <v>15</v>
      </c>
      <c r="D336">
        <v>1</v>
      </c>
      <c r="E336" t="str" cm="1">
        <f t="array" ref="E336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37" spans="1:5" x14ac:dyDescent="0.3">
      <c r="A337" s="1">
        <v>15523</v>
      </c>
      <c r="B337" t="s">
        <v>353</v>
      </c>
      <c r="C337">
        <v>15</v>
      </c>
      <c r="D337">
        <v>1</v>
      </c>
      <c r="E337" t="str" cm="1">
        <f t="array" ref="E337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38" spans="1:5" x14ac:dyDescent="0.3">
      <c r="A338" s="1">
        <v>15432</v>
      </c>
      <c r="B338" t="s">
        <v>352</v>
      </c>
      <c r="C338">
        <v>15</v>
      </c>
      <c r="D338">
        <v>1</v>
      </c>
      <c r="E338" t="str" cm="1">
        <f t="array" ref="E338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39" spans="1:5" x14ac:dyDescent="0.3">
      <c r="A339" s="1">
        <v>15342</v>
      </c>
      <c r="B339" t="s">
        <v>351</v>
      </c>
      <c r="C339">
        <v>15</v>
      </c>
      <c r="D339">
        <v>1</v>
      </c>
      <c r="E339" t="str" cm="1">
        <f t="array" ref="E339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40" spans="1:5" x14ac:dyDescent="0.3">
      <c r="A340" s="1">
        <v>15250</v>
      </c>
      <c r="B340" t="s">
        <v>350</v>
      </c>
      <c r="C340">
        <v>15</v>
      </c>
      <c r="D340">
        <v>1</v>
      </c>
      <c r="E340" t="str" cm="1">
        <f t="array" ref="E340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41" spans="1:5" x14ac:dyDescent="0.3">
      <c r="A341" s="1">
        <v>15158</v>
      </c>
      <c r="B341" t="s">
        <v>349</v>
      </c>
      <c r="C341">
        <v>15</v>
      </c>
      <c r="D341">
        <v>1</v>
      </c>
      <c r="E341" t="str" cm="1">
        <f t="array" ref="E341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42" spans="1:5" x14ac:dyDescent="0.3">
      <c r="A342" s="1">
        <v>15067</v>
      </c>
      <c r="B342" t="s">
        <v>348</v>
      </c>
      <c r="C342">
        <v>15</v>
      </c>
      <c r="D342">
        <v>1</v>
      </c>
      <c r="E342" t="str" cm="1">
        <f t="array" ref="E342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43" spans="1:5" x14ac:dyDescent="0.3">
      <c r="A343" s="1">
        <v>14977</v>
      </c>
      <c r="B343" t="s">
        <v>347</v>
      </c>
      <c r="C343">
        <v>15</v>
      </c>
      <c r="D343">
        <v>1</v>
      </c>
      <c r="E343" t="str" cm="1">
        <f t="array" ref="E343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44" spans="1:5" x14ac:dyDescent="0.3">
      <c r="A344" s="1">
        <v>14885</v>
      </c>
      <c r="B344" t="s">
        <v>346</v>
      </c>
      <c r="C344">
        <v>15</v>
      </c>
      <c r="D344">
        <v>1</v>
      </c>
      <c r="E344" t="str" cm="1">
        <f t="array" ref="E344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45" spans="1:5" x14ac:dyDescent="0.3">
      <c r="A345" s="1">
        <v>14793</v>
      </c>
      <c r="B345" t="s">
        <v>345</v>
      </c>
      <c r="C345">
        <v>15</v>
      </c>
      <c r="D345">
        <v>1</v>
      </c>
      <c r="E345" t="str" cm="1">
        <f t="array" ref="E345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46" spans="1:5" x14ac:dyDescent="0.3">
      <c r="A346" s="1">
        <v>14702</v>
      </c>
      <c r="B346" t="s">
        <v>344</v>
      </c>
      <c r="C346">
        <v>15</v>
      </c>
      <c r="D346">
        <v>1</v>
      </c>
      <c r="E346" t="str" cm="1">
        <f t="array" ref="E346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47" spans="1:5" x14ac:dyDescent="0.3">
      <c r="A347" s="1">
        <v>14611</v>
      </c>
      <c r="B347" t="s">
        <v>343</v>
      </c>
      <c r="C347">
        <v>15</v>
      </c>
      <c r="D347">
        <v>1</v>
      </c>
      <c r="E347" t="str" cm="1">
        <f t="array" ref="E347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48" spans="1:5" x14ac:dyDescent="0.3">
      <c r="A348" s="1">
        <v>14519</v>
      </c>
      <c r="B348" t="s">
        <v>342</v>
      </c>
      <c r="C348">
        <v>0</v>
      </c>
      <c r="D348">
        <v>1</v>
      </c>
      <c r="E348" t="str" cm="1">
        <f t="array" ref="E348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49" spans="1:5" x14ac:dyDescent="0.3">
      <c r="A349" s="1">
        <v>14427</v>
      </c>
      <c r="B349" t="s">
        <v>341</v>
      </c>
      <c r="C349">
        <v>0</v>
      </c>
      <c r="D349">
        <v>1</v>
      </c>
      <c r="E349" t="str" cm="1">
        <f t="array" ref="E349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50" spans="1:5" x14ac:dyDescent="0.3">
      <c r="A350" s="1">
        <v>14336</v>
      </c>
      <c r="B350" t="s">
        <v>340</v>
      </c>
      <c r="C350">
        <v>0</v>
      </c>
      <c r="D350">
        <v>1</v>
      </c>
      <c r="E350" t="str" cm="1">
        <f t="array" ref="E350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  <row r="351" spans="1:5" x14ac:dyDescent="0.3">
      <c r="A351" s="1">
        <v>14246</v>
      </c>
      <c r="B351" t="s">
        <v>339</v>
      </c>
      <c r="C351">
        <v>0</v>
      </c>
      <c r="D351">
        <v>1</v>
      </c>
      <c r="E351" t="str" cm="1">
        <f t="array" ref="E351">_xlfn.IFS(economy_score[[#This Row],[economic_score]]&lt;=40, "Bad", AND(economy_score[[#This Row],[economic_score]]&gt;40, economy_score[[#This Row],[economic_score]]&lt;= 60), "Stable", economy_score[[#This Row],[economic_score]] &gt; 60, "Growing")</f>
        <v>Bad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6F855-DA0C-43DF-AAC0-764A35EA0095}">
  <dimension ref="A2:J362"/>
  <sheetViews>
    <sheetView workbookViewId="0">
      <selection activeCell="G14" sqref="G14"/>
    </sheetView>
  </sheetViews>
  <sheetFormatPr defaultRowHeight="14.4" x14ac:dyDescent="0.3"/>
  <cols>
    <col min="1" max="1" width="12.44140625" bestFit="1" customWidth="1"/>
    <col min="2" max="2" width="15" bestFit="1" customWidth="1"/>
    <col min="3" max="3" width="10.5546875" bestFit="1" customWidth="1"/>
    <col min="5" max="5" width="20" bestFit="1" customWidth="1"/>
    <col min="6" max="6" width="15.5546875" bestFit="1" customWidth="1"/>
    <col min="7" max="7" width="16" bestFit="1" customWidth="1"/>
    <col min="8" max="8" width="8.6640625" bestFit="1" customWidth="1"/>
    <col min="9" max="9" width="17.6640625" bestFit="1" customWidth="1"/>
    <col min="10" max="10" width="10.5546875" bestFit="1" customWidth="1"/>
    <col min="11" max="11" width="17.6640625" bestFit="1" customWidth="1"/>
    <col min="12" max="12" width="10.5546875" bestFit="1" customWidth="1"/>
    <col min="13" max="13" width="12.6640625" bestFit="1" customWidth="1"/>
    <col min="14" max="14" width="17.6640625" bestFit="1" customWidth="1"/>
    <col min="15" max="15" width="10.5546875" bestFit="1" customWidth="1"/>
    <col min="16" max="16" width="9.109375" bestFit="1" customWidth="1"/>
    <col min="17" max="17" width="6.33203125" bestFit="1" customWidth="1"/>
    <col min="18" max="18" width="9.109375" bestFit="1" customWidth="1"/>
    <col min="19" max="19" width="6.33203125" bestFit="1" customWidth="1"/>
    <col min="20" max="20" width="9.109375" bestFit="1" customWidth="1"/>
    <col min="21" max="21" width="6.33203125" bestFit="1" customWidth="1"/>
    <col min="22" max="22" width="9.109375" bestFit="1" customWidth="1"/>
    <col min="23" max="23" width="9.44140625" bestFit="1" customWidth="1"/>
    <col min="24" max="24" width="6.6640625" bestFit="1" customWidth="1"/>
    <col min="25" max="25" width="9.109375" bestFit="1" customWidth="1"/>
    <col min="26" max="26" width="6.33203125" bestFit="1" customWidth="1"/>
    <col min="27" max="27" width="9.109375" bestFit="1" customWidth="1"/>
    <col min="28" max="28" width="6.33203125" bestFit="1" customWidth="1"/>
    <col min="29" max="29" width="9.109375" bestFit="1" customWidth="1"/>
    <col min="30" max="30" width="6.33203125" bestFit="1" customWidth="1"/>
    <col min="31" max="31" width="9.109375" bestFit="1" customWidth="1"/>
    <col min="32" max="32" width="9.44140625" bestFit="1" customWidth="1"/>
    <col min="33" max="33" width="6.6640625" bestFit="1" customWidth="1"/>
    <col min="34" max="34" width="9.109375" bestFit="1" customWidth="1"/>
    <col min="35" max="35" width="6.33203125" bestFit="1" customWidth="1"/>
    <col min="36" max="36" width="9.109375" bestFit="1" customWidth="1"/>
    <col min="37" max="37" width="6.33203125" bestFit="1" customWidth="1"/>
    <col min="38" max="38" width="9.109375" bestFit="1" customWidth="1"/>
    <col min="39" max="39" width="6.33203125" bestFit="1" customWidth="1"/>
    <col min="40" max="40" width="9.109375" bestFit="1" customWidth="1"/>
    <col min="41" max="41" width="9.44140625" bestFit="1" customWidth="1"/>
    <col min="42" max="42" width="6.6640625" bestFit="1" customWidth="1"/>
    <col min="43" max="43" width="9.109375" bestFit="1" customWidth="1"/>
    <col min="44" max="44" width="6.33203125" bestFit="1" customWidth="1"/>
    <col min="45" max="45" width="9.109375" bestFit="1" customWidth="1"/>
    <col min="46" max="46" width="6.33203125" bestFit="1" customWidth="1"/>
    <col min="47" max="47" width="9.109375" bestFit="1" customWidth="1"/>
    <col min="48" max="48" width="6.33203125" bestFit="1" customWidth="1"/>
    <col min="49" max="49" width="9.109375" bestFit="1" customWidth="1"/>
    <col min="50" max="50" width="9.44140625" bestFit="1" customWidth="1"/>
    <col min="51" max="51" width="6.6640625" bestFit="1" customWidth="1"/>
    <col min="52" max="52" width="9.109375" bestFit="1" customWidth="1"/>
    <col min="53" max="53" width="6.33203125" bestFit="1" customWidth="1"/>
    <col min="54" max="54" width="9.109375" bestFit="1" customWidth="1"/>
    <col min="55" max="55" width="6.33203125" bestFit="1" customWidth="1"/>
    <col min="56" max="56" width="9.109375" bestFit="1" customWidth="1"/>
    <col min="57" max="57" width="6.33203125" bestFit="1" customWidth="1"/>
    <col min="58" max="58" width="9.109375" bestFit="1" customWidth="1"/>
    <col min="59" max="59" width="9.44140625" bestFit="1" customWidth="1"/>
    <col min="60" max="60" width="6.6640625" bestFit="1" customWidth="1"/>
    <col min="61" max="61" width="9.109375" bestFit="1" customWidth="1"/>
    <col min="62" max="62" width="6.33203125" bestFit="1" customWidth="1"/>
    <col min="63" max="63" width="9.109375" bestFit="1" customWidth="1"/>
    <col min="64" max="64" width="6.33203125" bestFit="1" customWidth="1"/>
    <col min="65" max="65" width="9.109375" bestFit="1" customWidth="1"/>
    <col min="66" max="66" width="6.33203125" bestFit="1" customWidth="1"/>
    <col min="67" max="67" width="9.109375" bestFit="1" customWidth="1"/>
    <col min="68" max="68" width="9.44140625" bestFit="1" customWidth="1"/>
    <col min="69" max="69" width="6.6640625" bestFit="1" customWidth="1"/>
    <col min="70" max="70" width="9.109375" bestFit="1" customWidth="1"/>
    <col min="71" max="71" width="6.33203125" bestFit="1" customWidth="1"/>
    <col min="72" max="72" width="9.109375" bestFit="1" customWidth="1"/>
    <col min="73" max="73" width="6.33203125" bestFit="1" customWidth="1"/>
    <col min="74" max="74" width="9.109375" bestFit="1" customWidth="1"/>
    <col min="75" max="75" width="6.33203125" bestFit="1" customWidth="1"/>
    <col min="76" max="76" width="9.109375" bestFit="1" customWidth="1"/>
    <col min="77" max="77" width="9.44140625" bestFit="1" customWidth="1"/>
    <col min="78" max="78" width="6.6640625" bestFit="1" customWidth="1"/>
    <col min="79" max="79" width="9.109375" bestFit="1" customWidth="1"/>
    <col min="80" max="80" width="6.33203125" bestFit="1" customWidth="1"/>
    <col min="81" max="81" width="9.109375" bestFit="1" customWidth="1"/>
    <col min="82" max="82" width="6.33203125" bestFit="1" customWidth="1"/>
    <col min="83" max="83" width="9.109375" bestFit="1" customWidth="1"/>
    <col min="84" max="84" width="6.33203125" bestFit="1" customWidth="1"/>
    <col min="85" max="85" width="9.109375" bestFit="1" customWidth="1"/>
    <col min="86" max="86" width="9.44140625" bestFit="1" customWidth="1"/>
    <col min="87" max="87" width="6.6640625" bestFit="1" customWidth="1"/>
    <col min="88" max="88" width="9.109375" bestFit="1" customWidth="1"/>
    <col min="89" max="89" width="6.33203125" bestFit="1" customWidth="1"/>
    <col min="90" max="90" width="9.109375" bestFit="1" customWidth="1"/>
    <col min="91" max="91" width="6.33203125" bestFit="1" customWidth="1"/>
    <col min="92" max="92" width="9.109375" bestFit="1" customWidth="1"/>
    <col min="93" max="93" width="6.33203125" bestFit="1" customWidth="1"/>
    <col min="94" max="94" width="9.109375" bestFit="1" customWidth="1"/>
    <col min="95" max="95" width="9.44140625" bestFit="1" customWidth="1"/>
    <col min="96" max="96" width="6.6640625" bestFit="1" customWidth="1"/>
    <col min="97" max="97" width="9.109375" bestFit="1" customWidth="1"/>
    <col min="98" max="98" width="6.33203125" bestFit="1" customWidth="1"/>
    <col min="99" max="99" width="9.109375" bestFit="1" customWidth="1"/>
    <col min="100" max="100" width="6.33203125" bestFit="1" customWidth="1"/>
    <col min="101" max="101" width="9.109375" bestFit="1" customWidth="1"/>
    <col min="102" max="102" width="6.33203125" bestFit="1" customWidth="1"/>
    <col min="103" max="103" width="9.109375" bestFit="1" customWidth="1"/>
    <col min="104" max="104" width="9.44140625" bestFit="1" customWidth="1"/>
    <col min="105" max="105" width="6.6640625" bestFit="1" customWidth="1"/>
    <col min="106" max="106" width="9.109375" bestFit="1" customWidth="1"/>
    <col min="107" max="107" width="6.33203125" bestFit="1" customWidth="1"/>
    <col min="108" max="108" width="9.109375" bestFit="1" customWidth="1"/>
    <col min="109" max="109" width="6.6640625" bestFit="1" customWidth="1"/>
    <col min="110" max="110" width="9.109375" bestFit="1" customWidth="1"/>
    <col min="111" max="111" width="6.6640625" bestFit="1" customWidth="1"/>
    <col min="112" max="112" width="9.109375" bestFit="1" customWidth="1"/>
    <col min="113" max="113" width="9.44140625" bestFit="1" customWidth="1"/>
    <col min="114" max="114" width="6.6640625" bestFit="1" customWidth="1"/>
    <col min="115" max="115" width="9.109375" bestFit="1" customWidth="1"/>
    <col min="116" max="116" width="6.6640625" bestFit="1" customWidth="1"/>
    <col min="117" max="117" width="9.109375" bestFit="1" customWidth="1"/>
    <col min="118" max="118" width="6.6640625" bestFit="1" customWidth="1"/>
    <col min="119" max="119" width="9.109375" bestFit="1" customWidth="1"/>
    <col min="120" max="120" width="6.6640625" bestFit="1" customWidth="1"/>
    <col min="121" max="121" width="9.109375" bestFit="1" customWidth="1"/>
    <col min="122" max="122" width="9.44140625" bestFit="1" customWidth="1"/>
    <col min="123" max="123" width="6.6640625" bestFit="1" customWidth="1"/>
    <col min="124" max="124" width="9.109375" bestFit="1" customWidth="1"/>
    <col min="125" max="125" width="6.33203125" bestFit="1" customWidth="1"/>
    <col min="126" max="126" width="9.109375" bestFit="1" customWidth="1"/>
    <col min="127" max="127" width="6.33203125" bestFit="1" customWidth="1"/>
    <col min="128" max="128" width="9.109375" bestFit="1" customWidth="1"/>
    <col min="129" max="129" width="6.6640625" bestFit="1" customWidth="1"/>
    <col min="130" max="130" width="9.109375" bestFit="1" customWidth="1"/>
    <col min="131" max="131" width="9.44140625" bestFit="1" customWidth="1"/>
    <col min="132" max="132" width="6.6640625" bestFit="1" customWidth="1"/>
    <col min="133" max="133" width="9.109375" bestFit="1" customWidth="1"/>
    <col min="134" max="134" width="6.6640625" bestFit="1" customWidth="1"/>
    <col min="135" max="135" width="9.109375" bestFit="1" customWidth="1"/>
    <col min="136" max="136" width="6.6640625" bestFit="1" customWidth="1"/>
    <col min="137" max="137" width="9.109375" bestFit="1" customWidth="1"/>
    <col min="138" max="138" width="6.33203125" bestFit="1" customWidth="1"/>
    <col min="139" max="139" width="9.109375" bestFit="1" customWidth="1"/>
    <col min="140" max="140" width="9.44140625" bestFit="1" customWidth="1"/>
    <col min="141" max="141" width="6.6640625" bestFit="1" customWidth="1"/>
    <col min="142" max="142" width="9.109375" bestFit="1" customWidth="1"/>
    <col min="143" max="143" width="7" bestFit="1" customWidth="1"/>
    <col min="144" max="144" width="9.109375" bestFit="1" customWidth="1"/>
    <col min="145" max="145" width="7" bestFit="1" customWidth="1"/>
    <col min="146" max="146" width="9.109375" bestFit="1" customWidth="1"/>
    <col min="147" max="147" width="6.33203125" bestFit="1" customWidth="1"/>
    <col min="148" max="148" width="9.109375" bestFit="1" customWidth="1"/>
    <col min="149" max="149" width="9.44140625" bestFit="1" customWidth="1"/>
    <col min="150" max="150" width="6.6640625" bestFit="1" customWidth="1"/>
    <col min="151" max="151" width="9.109375" bestFit="1" customWidth="1"/>
    <col min="152" max="152" width="6.6640625" bestFit="1" customWidth="1"/>
    <col min="153" max="153" width="9.109375" bestFit="1" customWidth="1"/>
    <col min="154" max="154" width="6.6640625" bestFit="1" customWidth="1"/>
    <col min="155" max="155" width="9.109375" bestFit="1" customWidth="1"/>
    <col min="156" max="156" width="7" bestFit="1" customWidth="1"/>
    <col min="157" max="157" width="9.109375" bestFit="1" customWidth="1"/>
    <col min="158" max="158" width="9.44140625" bestFit="1" customWidth="1"/>
    <col min="159" max="159" width="6.6640625" bestFit="1" customWidth="1"/>
    <col min="160" max="160" width="9.109375" bestFit="1" customWidth="1"/>
    <col min="161" max="161" width="6.33203125" bestFit="1" customWidth="1"/>
    <col min="162" max="162" width="9.109375" bestFit="1" customWidth="1"/>
    <col min="163" max="163" width="6.33203125" bestFit="1" customWidth="1"/>
    <col min="164" max="164" width="9.109375" bestFit="1" customWidth="1"/>
    <col min="165" max="165" width="6.33203125" bestFit="1" customWidth="1"/>
    <col min="166" max="166" width="9.109375" bestFit="1" customWidth="1"/>
    <col min="167" max="167" width="9.44140625" bestFit="1" customWidth="1"/>
    <col min="168" max="168" width="6.6640625" bestFit="1" customWidth="1"/>
    <col min="169" max="169" width="9.109375" bestFit="1" customWidth="1"/>
    <col min="170" max="170" width="6.33203125" bestFit="1" customWidth="1"/>
    <col min="171" max="171" width="9.109375" bestFit="1" customWidth="1"/>
    <col min="172" max="172" width="6.33203125" bestFit="1" customWidth="1"/>
    <col min="173" max="173" width="9.109375" bestFit="1" customWidth="1"/>
    <col min="174" max="174" width="6.33203125" bestFit="1" customWidth="1"/>
    <col min="175" max="175" width="9.109375" bestFit="1" customWidth="1"/>
    <col min="176" max="176" width="9.44140625" bestFit="1" customWidth="1"/>
    <col min="177" max="177" width="6.6640625" bestFit="1" customWidth="1"/>
    <col min="178" max="178" width="9.109375" bestFit="1" customWidth="1"/>
    <col min="179" max="179" width="6.6640625" bestFit="1" customWidth="1"/>
    <col min="180" max="180" width="9.109375" bestFit="1" customWidth="1"/>
    <col min="181" max="181" width="6.6640625" bestFit="1" customWidth="1"/>
    <col min="182" max="182" width="9.109375" bestFit="1" customWidth="1"/>
    <col min="183" max="183" width="6.6640625" bestFit="1" customWidth="1"/>
    <col min="184" max="184" width="9.109375" bestFit="1" customWidth="1"/>
    <col min="185" max="185" width="9.44140625" bestFit="1" customWidth="1"/>
    <col min="186" max="186" width="6.6640625" bestFit="1" customWidth="1"/>
    <col min="187" max="187" width="9.109375" bestFit="1" customWidth="1"/>
    <col min="188" max="188" width="7" bestFit="1" customWidth="1"/>
    <col min="189" max="189" width="9.109375" bestFit="1" customWidth="1"/>
    <col min="190" max="190" width="7" bestFit="1" customWidth="1"/>
    <col min="191" max="191" width="9.109375" bestFit="1" customWidth="1"/>
    <col min="192" max="192" width="6.6640625" bestFit="1" customWidth="1"/>
    <col min="193" max="193" width="9.109375" bestFit="1" customWidth="1"/>
    <col min="194" max="194" width="9.44140625" bestFit="1" customWidth="1"/>
    <col min="195" max="195" width="6.6640625" bestFit="1" customWidth="1"/>
    <col min="196" max="196" width="9.109375" bestFit="1" customWidth="1"/>
    <col min="197" max="197" width="6.33203125" bestFit="1" customWidth="1"/>
    <col min="198" max="198" width="9.109375" bestFit="1" customWidth="1"/>
    <col min="199" max="199" width="6.6640625" bestFit="1" customWidth="1"/>
    <col min="200" max="200" width="9.109375" bestFit="1" customWidth="1"/>
    <col min="201" max="201" width="6.6640625" bestFit="1" customWidth="1"/>
    <col min="202" max="202" width="9.109375" bestFit="1" customWidth="1"/>
    <col min="203" max="203" width="9.44140625" bestFit="1" customWidth="1"/>
    <col min="204" max="204" width="6.6640625" bestFit="1" customWidth="1"/>
    <col min="205" max="205" width="9.109375" bestFit="1" customWidth="1"/>
    <col min="206" max="206" width="6.6640625" bestFit="1" customWidth="1"/>
    <col min="207" max="207" width="9.109375" bestFit="1" customWidth="1"/>
    <col min="208" max="208" width="6.6640625" bestFit="1" customWidth="1"/>
    <col min="209" max="209" width="9.109375" bestFit="1" customWidth="1"/>
    <col min="210" max="210" width="6.33203125" bestFit="1" customWidth="1"/>
    <col min="211" max="211" width="9.109375" bestFit="1" customWidth="1"/>
    <col min="212" max="212" width="9.44140625" bestFit="1" customWidth="1"/>
    <col min="213" max="213" width="6.6640625" bestFit="1" customWidth="1"/>
    <col min="214" max="214" width="9.109375" bestFit="1" customWidth="1"/>
    <col min="215" max="215" width="6.6640625" bestFit="1" customWidth="1"/>
    <col min="216" max="216" width="9.109375" bestFit="1" customWidth="1"/>
    <col min="217" max="217" width="6.6640625" bestFit="1" customWidth="1"/>
    <col min="218" max="218" width="9.109375" bestFit="1" customWidth="1"/>
    <col min="219" max="219" width="6.6640625" bestFit="1" customWidth="1"/>
    <col min="220" max="220" width="9.109375" bestFit="1" customWidth="1"/>
    <col min="221" max="221" width="9.44140625" bestFit="1" customWidth="1"/>
    <col min="222" max="222" width="6.6640625" bestFit="1" customWidth="1"/>
    <col min="223" max="223" width="9.109375" bestFit="1" customWidth="1"/>
    <col min="224" max="224" width="6.33203125" bestFit="1" customWidth="1"/>
    <col min="225" max="225" width="9.109375" bestFit="1" customWidth="1"/>
    <col min="226" max="226" width="6.33203125" bestFit="1" customWidth="1"/>
    <col min="227" max="227" width="9.109375" bestFit="1" customWidth="1"/>
    <col min="228" max="228" width="6.33203125" bestFit="1" customWidth="1"/>
    <col min="229" max="229" width="9.109375" bestFit="1" customWidth="1"/>
    <col min="230" max="230" width="9.44140625" bestFit="1" customWidth="1"/>
    <col min="231" max="231" width="6.6640625" bestFit="1" customWidth="1"/>
    <col min="232" max="232" width="9.109375" bestFit="1" customWidth="1"/>
    <col min="233" max="233" width="6.33203125" bestFit="1" customWidth="1"/>
    <col min="234" max="234" width="9.109375" bestFit="1" customWidth="1"/>
    <col min="235" max="235" width="6.33203125" bestFit="1" customWidth="1"/>
    <col min="236" max="236" width="9.109375" bestFit="1" customWidth="1"/>
    <col min="237" max="237" width="6.6640625" bestFit="1" customWidth="1"/>
    <col min="238" max="238" width="9.109375" bestFit="1" customWidth="1"/>
    <col min="239" max="239" width="9.44140625" bestFit="1" customWidth="1"/>
    <col min="240" max="240" width="6.6640625" bestFit="1" customWidth="1"/>
    <col min="241" max="241" width="9.109375" bestFit="1" customWidth="1"/>
    <col min="242" max="242" width="6.6640625" bestFit="1" customWidth="1"/>
    <col min="243" max="243" width="9.109375" bestFit="1" customWidth="1"/>
    <col min="244" max="244" width="6.6640625" bestFit="1" customWidth="1"/>
    <col min="245" max="245" width="9.109375" bestFit="1" customWidth="1"/>
    <col min="246" max="246" width="6.6640625" bestFit="1" customWidth="1"/>
    <col min="247" max="247" width="9.109375" bestFit="1" customWidth="1"/>
    <col min="248" max="248" width="9.44140625" bestFit="1" customWidth="1"/>
    <col min="249" max="249" width="6.6640625" bestFit="1" customWidth="1"/>
    <col min="250" max="250" width="9.109375" bestFit="1" customWidth="1"/>
    <col min="251" max="251" width="6.6640625" bestFit="1" customWidth="1"/>
    <col min="252" max="252" width="9.109375" bestFit="1" customWidth="1"/>
    <col min="253" max="253" width="6.6640625" bestFit="1" customWidth="1"/>
    <col min="254" max="254" width="9.109375" bestFit="1" customWidth="1"/>
    <col min="255" max="255" width="6.33203125" bestFit="1" customWidth="1"/>
    <col min="256" max="256" width="9.109375" bestFit="1" customWidth="1"/>
    <col min="257" max="257" width="9.44140625" bestFit="1" customWidth="1"/>
    <col min="258" max="258" width="6.6640625" bestFit="1" customWidth="1"/>
    <col min="259" max="259" width="9.109375" bestFit="1" customWidth="1"/>
    <col min="260" max="260" width="6.6640625" bestFit="1" customWidth="1"/>
    <col min="261" max="261" width="9.109375" bestFit="1" customWidth="1"/>
    <col min="262" max="262" width="6.6640625" bestFit="1" customWidth="1"/>
    <col min="263" max="263" width="9.109375" bestFit="1" customWidth="1"/>
    <col min="264" max="264" width="6.6640625" bestFit="1" customWidth="1"/>
    <col min="265" max="265" width="9.109375" bestFit="1" customWidth="1"/>
    <col min="266" max="266" width="9.44140625" bestFit="1" customWidth="1"/>
    <col min="267" max="267" width="6.6640625" bestFit="1" customWidth="1"/>
    <col min="268" max="268" width="9.109375" bestFit="1" customWidth="1"/>
    <col min="269" max="269" width="6.33203125" bestFit="1" customWidth="1"/>
    <col min="270" max="270" width="9.109375" bestFit="1" customWidth="1"/>
    <col min="271" max="271" width="6.33203125" bestFit="1" customWidth="1"/>
    <col min="272" max="272" width="9.109375" bestFit="1" customWidth="1"/>
    <col min="273" max="273" width="6.6640625" bestFit="1" customWidth="1"/>
    <col min="274" max="274" width="9.109375" bestFit="1" customWidth="1"/>
    <col min="275" max="275" width="9.44140625" bestFit="1" customWidth="1"/>
    <col min="276" max="276" width="6.6640625" bestFit="1" customWidth="1"/>
    <col min="277" max="277" width="9.109375" bestFit="1" customWidth="1"/>
    <col min="278" max="278" width="6.33203125" bestFit="1" customWidth="1"/>
    <col min="279" max="279" width="9.109375" bestFit="1" customWidth="1"/>
    <col min="280" max="280" width="6.33203125" bestFit="1" customWidth="1"/>
    <col min="281" max="281" width="9.109375" bestFit="1" customWidth="1"/>
    <col min="282" max="282" width="6.33203125" bestFit="1" customWidth="1"/>
    <col min="283" max="283" width="9.109375" bestFit="1" customWidth="1"/>
    <col min="284" max="284" width="9.44140625" bestFit="1" customWidth="1"/>
    <col min="285" max="285" width="6.6640625" bestFit="1" customWidth="1"/>
    <col min="286" max="286" width="9.109375" bestFit="1" customWidth="1"/>
    <col min="287" max="287" width="6.33203125" bestFit="1" customWidth="1"/>
    <col min="288" max="288" width="9.109375" bestFit="1" customWidth="1"/>
    <col min="289" max="289" width="6.6640625" bestFit="1" customWidth="1"/>
    <col min="290" max="290" width="9.109375" bestFit="1" customWidth="1"/>
    <col min="291" max="291" width="6.6640625" bestFit="1" customWidth="1"/>
    <col min="292" max="292" width="9.109375" bestFit="1" customWidth="1"/>
    <col min="293" max="293" width="9.44140625" bestFit="1" customWidth="1"/>
    <col min="294" max="294" width="6.6640625" bestFit="1" customWidth="1"/>
    <col min="295" max="295" width="9.109375" bestFit="1" customWidth="1"/>
    <col min="296" max="296" width="6.6640625" bestFit="1" customWidth="1"/>
    <col min="297" max="297" width="9.109375" bestFit="1" customWidth="1"/>
    <col min="298" max="298" width="6.6640625" bestFit="1" customWidth="1"/>
    <col min="299" max="299" width="9.109375" bestFit="1" customWidth="1"/>
    <col min="300" max="300" width="6.6640625" bestFit="1" customWidth="1"/>
    <col min="301" max="301" width="9.109375" bestFit="1" customWidth="1"/>
    <col min="302" max="302" width="9.44140625" bestFit="1" customWidth="1"/>
    <col min="303" max="303" width="6.6640625" bestFit="1" customWidth="1"/>
    <col min="304" max="304" width="9.109375" bestFit="1" customWidth="1"/>
    <col min="305" max="305" width="6.33203125" bestFit="1" customWidth="1"/>
    <col min="306" max="306" width="9.109375" bestFit="1" customWidth="1"/>
    <col min="307" max="307" width="6.33203125" bestFit="1" customWidth="1"/>
    <col min="308" max="308" width="9.109375" bestFit="1" customWidth="1"/>
    <col min="309" max="309" width="6.33203125" bestFit="1" customWidth="1"/>
    <col min="310" max="310" width="9.109375" bestFit="1" customWidth="1"/>
    <col min="311" max="311" width="9.44140625" bestFit="1" customWidth="1"/>
    <col min="312" max="312" width="6.6640625" bestFit="1" customWidth="1"/>
    <col min="313" max="313" width="9.109375" bestFit="1" customWidth="1"/>
    <col min="314" max="314" width="6.6640625" bestFit="1" customWidth="1"/>
    <col min="315" max="315" width="9.109375" bestFit="1" customWidth="1"/>
    <col min="316" max="316" width="7" bestFit="1" customWidth="1"/>
    <col min="317" max="317" width="9.109375" bestFit="1" customWidth="1"/>
    <col min="318" max="318" width="6.6640625" bestFit="1" customWidth="1"/>
    <col min="319" max="319" width="9.109375" bestFit="1" customWidth="1"/>
    <col min="320" max="320" width="9.44140625" bestFit="1" customWidth="1"/>
    <col min="321" max="321" width="6.6640625" bestFit="1" customWidth="1"/>
    <col min="322" max="322" width="9.109375" bestFit="1" customWidth="1"/>
    <col min="323" max="323" width="6.33203125" bestFit="1" customWidth="1"/>
    <col min="324" max="324" width="9.109375" bestFit="1" customWidth="1"/>
    <col min="325" max="325" width="6.33203125" bestFit="1" customWidth="1"/>
    <col min="326" max="326" width="9.109375" bestFit="1" customWidth="1"/>
    <col min="327" max="327" width="6.33203125" bestFit="1" customWidth="1"/>
    <col min="328" max="328" width="9.109375" bestFit="1" customWidth="1"/>
    <col min="329" max="329" width="9.44140625" bestFit="1" customWidth="1"/>
    <col min="330" max="330" width="6.6640625" bestFit="1" customWidth="1"/>
    <col min="331" max="331" width="9.109375" bestFit="1" customWidth="1"/>
    <col min="332" max="332" width="6.6640625" bestFit="1" customWidth="1"/>
    <col min="333" max="333" width="9.109375" bestFit="1" customWidth="1"/>
    <col min="334" max="334" width="6.6640625" bestFit="1" customWidth="1"/>
    <col min="335" max="335" width="9.109375" bestFit="1" customWidth="1"/>
    <col min="336" max="336" width="6.6640625" bestFit="1" customWidth="1"/>
    <col min="337" max="337" width="9.109375" bestFit="1" customWidth="1"/>
    <col min="338" max="338" width="9.44140625" bestFit="1" customWidth="1"/>
    <col min="339" max="339" width="6.6640625" bestFit="1" customWidth="1"/>
    <col min="340" max="340" width="9.109375" bestFit="1" customWidth="1"/>
    <col min="341" max="341" width="6.6640625" bestFit="1" customWidth="1"/>
    <col min="342" max="342" width="9.109375" bestFit="1" customWidth="1"/>
    <col min="343" max="343" width="6.6640625" bestFit="1" customWidth="1"/>
    <col min="344" max="344" width="9.109375" bestFit="1" customWidth="1"/>
    <col min="345" max="345" width="6.33203125" bestFit="1" customWidth="1"/>
    <col min="346" max="346" width="9.109375" bestFit="1" customWidth="1"/>
    <col min="347" max="347" width="9.44140625" bestFit="1" customWidth="1"/>
    <col min="348" max="348" width="6.6640625" bestFit="1" customWidth="1"/>
    <col min="349" max="349" width="9.109375" bestFit="1" customWidth="1"/>
    <col min="350" max="350" width="6.33203125" bestFit="1" customWidth="1"/>
    <col min="351" max="351" width="9.109375" bestFit="1" customWidth="1"/>
    <col min="352" max="352" width="6.6640625" bestFit="1" customWidth="1"/>
    <col min="353" max="353" width="9.109375" bestFit="1" customWidth="1"/>
    <col min="354" max="354" width="6.6640625" bestFit="1" customWidth="1"/>
    <col min="355" max="355" width="9.109375" bestFit="1" customWidth="1"/>
    <col min="356" max="356" width="9.44140625" bestFit="1" customWidth="1"/>
    <col min="357" max="357" width="6.6640625" bestFit="1" customWidth="1"/>
    <col min="358" max="358" width="9.109375" bestFit="1" customWidth="1"/>
    <col min="359" max="359" width="6.6640625" bestFit="1" customWidth="1"/>
    <col min="360" max="360" width="9.109375" bestFit="1" customWidth="1"/>
    <col min="361" max="361" width="6.6640625" bestFit="1" customWidth="1"/>
    <col min="362" max="362" width="9.109375" bestFit="1" customWidth="1"/>
    <col min="363" max="363" width="6.33203125" bestFit="1" customWidth="1"/>
    <col min="364" max="364" width="9.109375" bestFit="1" customWidth="1"/>
    <col min="365" max="365" width="9.44140625" bestFit="1" customWidth="1"/>
    <col min="366" max="366" width="6.6640625" bestFit="1" customWidth="1"/>
    <col min="367" max="367" width="9.109375" bestFit="1" customWidth="1"/>
    <col min="368" max="368" width="6.6640625" bestFit="1" customWidth="1"/>
    <col min="369" max="369" width="9.109375" bestFit="1" customWidth="1"/>
    <col min="370" max="370" width="6.6640625" bestFit="1" customWidth="1"/>
    <col min="371" max="371" width="9.109375" bestFit="1" customWidth="1"/>
    <col min="372" max="372" width="6.6640625" bestFit="1" customWidth="1"/>
    <col min="373" max="373" width="9.109375" bestFit="1" customWidth="1"/>
    <col min="374" max="374" width="9.44140625" bestFit="1" customWidth="1"/>
    <col min="375" max="375" width="6.6640625" bestFit="1" customWidth="1"/>
    <col min="376" max="376" width="9.109375" bestFit="1" customWidth="1"/>
    <col min="377" max="377" width="6.6640625" bestFit="1" customWidth="1"/>
    <col min="378" max="378" width="9.109375" bestFit="1" customWidth="1"/>
    <col min="379" max="379" width="6.6640625" bestFit="1" customWidth="1"/>
    <col min="380" max="380" width="9.109375" bestFit="1" customWidth="1"/>
    <col min="381" max="381" width="6.33203125" bestFit="1" customWidth="1"/>
    <col min="382" max="382" width="9.109375" bestFit="1" customWidth="1"/>
    <col min="383" max="383" width="9.44140625" bestFit="1" customWidth="1"/>
    <col min="384" max="384" width="6.6640625" bestFit="1" customWidth="1"/>
    <col min="385" max="385" width="9.109375" bestFit="1" customWidth="1"/>
    <col min="386" max="386" width="6.33203125" bestFit="1" customWidth="1"/>
    <col min="387" max="387" width="9.109375" bestFit="1" customWidth="1"/>
    <col min="388" max="388" width="7" bestFit="1" customWidth="1"/>
    <col min="389" max="389" width="9.109375" bestFit="1" customWidth="1"/>
    <col min="390" max="390" width="6.6640625" bestFit="1" customWidth="1"/>
    <col min="391" max="391" width="9.109375" bestFit="1" customWidth="1"/>
    <col min="392" max="392" width="9.44140625" bestFit="1" customWidth="1"/>
    <col min="393" max="393" width="6.6640625" bestFit="1" customWidth="1"/>
    <col min="394" max="394" width="9.109375" bestFit="1" customWidth="1"/>
    <col min="395" max="395" width="6.6640625" bestFit="1" customWidth="1"/>
    <col min="396" max="396" width="9.109375" bestFit="1" customWidth="1"/>
    <col min="397" max="397" width="6.6640625" bestFit="1" customWidth="1"/>
    <col min="398" max="398" width="9.109375" bestFit="1" customWidth="1"/>
    <col min="399" max="399" width="6.6640625" bestFit="1" customWidth="1"/>
    <col min="400" max="400" width="9.109375" bestFit="1" customWidth="1"/>
    <col min="401" max="401" width="9.44140625" bestFit="1" customWidth="1"/>
    <col min="402" max="402" width="6.6640625" bestFit="1" customWidth="1"/>
    <col min="403" max="403" width="9.109375" bestFit="1" customWidth="1"/>
    <col min="404" max="404" width="6.6640625" bestFit="1" customWidth="1"/>
    <col min="405" max="405" width="9.109375" bestFit="1" customWidth="1"/>
    <col min="406" max="406" width="6.6640625" bestFit="1" customWidth="1"/>
    <col min="407" max="407" width="9.109375" bestFit="1" customWidth="1"/>
    <col min="408" max="408" width="6.6640625" bestFit="1" customWidth="1"/>
    <col min="409" max="409" width="9.109375" bestFit="1" customWidth="1"/>
    <col min="410" max="410" width="9.44140625" bestFit="1" customWidth="1"/>
    <col min="411" max="411" width="6.6640625" bestFit="1" customWidth="1"/>
    <col min="412" max="412" width="9.109375" bestFit="1" customWidth="1"/>
    <col min="413" max="413" width="6.6640625" bestFit="1" customWidth="1"/>
    <col min="414" max="414" width="9.109375" bestFit="1" customWidth="1"/>
    <col min="415" max="415" width="6.6640625" bestFit="1" customWidth="1"/>
    <col min="416" max="416" width="9.109375" bestFit="1" customWidth="1"/>
    <col min="417" max="417" width="6.6640625" bestFit="1" customWidth="1"/>
    <col min="418" max="418" width="9.109375" bestFit="1" customWidth="1"/>
    <col min="419" max="419" width="9.44140625" bestFit="1" customWidth="1"/>
    <col min="420" max="420" width="6.6640625" bestFit="1" customWidth="1"/>
    <col min="421" max="421" width="9.109375" bestFit="1" customWidth="1"/>
    <col min="422" max="422" width="6.6640625" bestFit="1" customWidth="1"/>
    <col min="423" max="423" width="9.109375" bestFit="1" customWidth="1"/>
    <col min="424" max="424" width="6.6640625" bestFit="1" customWidth="1"/>
    <col min="425" max="425" width="9.109375" bestFit="1" customWidth="1"/>
    <col min="426" max="426" width="6.6640625" bestFit="1" customWidth="1"/>
    <col min="427" max="427" width="9.109375" bestFit="1" customWidth="1"/>
    <col min="428" max="428" width="9.44140625" bestFit="1" customWidth="1"/>
    <col min="429" max="429" width="6.6640625" bestFit="1" customWidth="1"/>
    <col min="430" max="430" width="9.109375" bestFit="1" customWidth="1"/>
    <col min="431" max="431" width="6.6640625" bestFit="1" customWidth="1"/>
    <col min="432" max="432" width="9.109375" bestFit="1" customWidth="1"/>
    <col min="433" max="433" width="6.6640625" bestFit="1" customWidth="1"/>
    <col min="434" max="434" width="9.109375" bestFit="1" customWidth="1"/>
    <col min="435" max="435" width="6.6640625" bestFit="1" customWidth="1"/>
    <col min="436" max="436" width="9.109375" bestFit="1" customWidth="1"/>
    <col min="437" max="437" width="9.44140625" bestFit="1" customWidth="1"/>
    <col min="438" max="438" width="6.6640625" bestFit="1" customWidth="1"/>
    <col min="439" max="439" width="9.109375" bestFit="1" customWidth="1"/>
    <col min="440" max="440" width="6.6640625" bestFit="1" customWidth="1"/>
    <col min="441" max="441" width="9.109375" bestFit="1" customWidth="1"/>
    <col min="442" max="442" width="6.6640625" bestFit="1" customWidth="1"/>
    <col min="443" max="443" width="9.109375" bestFit="1" customWidth="1"/>
    <col min="444" max="444" width="6.6640625" bestFit="1" customWidth="1"/>
    <col min="445" max="445" width="9.109375" bestFit="1" customWidth="1"/>
    <col min="446" max="446" width="9.44140625" bestFit="1" customWidth="1"/>
    <col min="447" max="447" width="6.6640625" bestFit="1" customWidth="1"/>
    <col min="448" max="448" width="9.109375" bestFit="1" customWidth="1"/>
    <col min="449" max="449" width="6.6640625" bestFit="1" customWidth="1"/>
    <col min="450" max="450" width="9.109375" bestFit="1" customWidth="1"/>
    <col min="451" max="451" width="6.33203125" bestFit="1" customWidth="1"/>
    <col min="452" max="452" width="9.109375" bestFit="1" customWidth="1"/>
    <col min="453" max="453" width="6.33203125" bestFit="1" customWidth="1"/>
    <col min="454" max="454" width="9.109375" bestFit="1" customWidth="1"/>
    <col min="455" max="455" width="9.44140625" bestFit="1" customWidth="1"/>
    <col min="456" max="456" width="6.6640625" bestFit="1" customWidth="1"/>
    <col min="457" max="457" width="9.109375" bestFit="1" customWidth="1"/>
    <col min="458" max="458" width="6.33203125" bestFit="1" customWidth="1"/>
    <col min="459" max="459" width="9.109375" bestFit="1" customWidth="1"/>
    <col min="460" max="460" width="6.33203125" bestFit="1" customWidth="1"/>
    <col min="461" max="461" width="9.109375" bestFit="1" customWidth="1"/>
    <col min="462" max="462" width="6.33203125" bestFit="1" customWidth="1"/>
    <col min="463" max="463" width="9.109375" bestFit="1" customWidth="1"/>
    <col min="464" max="464" width="9.44140625" bestFit="1" customWidth="1"/>
    <col min="465" max="465" width="6.6640625" bestFit="1" customWidth="1"/>
    <col min="466" max="466" width="9.109375" bestFit="1" customWidth="1"/>
    <col min="467" max="467" width="6.6640625" bestFit="1" customWidth="1"/>
    <col min="468" max="468" width="9.109375" bestFit="1" customWidth="1"/>
    <col min="469" max="469" width="6.6640625" bestFit="1" customWidth="1"/>
    <col min="470" max="470" width="9.109375" bestFit="1" customWidth="1"/>
    <col min="471" max="471" width="6.6640625" bestFit="1" customWidth="1"/>
    <col min="472" max="472" width="9.109375" bestFit="1" customWidth="1"/>
    <col min="473" max="473" width="9.44140625" bestFit="1" customWidth="1"/>
    <col min="474" max="474" width="6.6640625" bestFit="1" customWidth="1"/>
    <col min="475" max="475" width="9.109375" bestFit="1" customWidth="1"/>
    <col min="476" max="476" width="6.6640625" bestFit="1" customWidth="1"/>
    <col min="477" max="477" width="9.109375" bestFit="1" customWidth="1"/>
    <col min="478" max="478" width="6.6640625" bestFit="1" customWidth="1"/>
    <col min="479" max="479" width="9.109375" bestFit="1" customWidth="1"/>
    <col min="480" max="480" width="6.6640625" bestFit="1" customWidth="1"/>
    <col min="481" max="481" width="9.109375" bestFit="1" customWidth="1"/>
    <col min="482" max="482" width="9.44140625" bestFit="1" customWidth="1"/>
    <col min="483" max="483" width="6.6640625" bestFit="1" customWidth="1"/>
    <col min="484" max="484" width="9.109375" bestFit="1" customWidth="1"/>
    <col min="485" max="485" width="6.6640625" bestFit="1" customWidth="1"/>
    <col min="486" max="486" width="9.109375" bestFit="1" customWidth="1"/>
    <col min="487" max="487" width="6.6640625" bestFit="1" customWidth="1"/>
    <col min="488" max="488" width="9.109375" bestFit="1" customWidth="1"/>
    <col min="489" max="489" width="6.6640625" bestFit="1" customWidth="1"/>
    <col min="490" max="490" width="9.109375" bestFit="1" customWidth="1"/>
    <col min="491" max="491" width="9.44140625" bestFit="1" customWidth="1"/>
    <col min="492" max="492" width="7" bestFit="1" customWidth="1"/>
    <col min="493" max="493" width="9.109375" bestFit="1" customWidth="1"/>
    <col min="494" max="494" width="6.6640625" bestFit="1" customWidth="1"/>
    <col min="495" max="495" width="9.109375" bestFit="1" customWidth="1"/>
    <col min="496" max="496" width="6.6640625" bestFit="1" customWidth="1"/>
    <col min="497" max="497" width="9.109375" bestFit="1" customWidth="1"/>
    <col min="498" max="498" width="6.33203125" bestFit="1" customWidth="1"/>
    <col min="499" max="499" width="9.109375" bestFit="1" customWidth="1"/>
    <col min="500" max="500" width="9.44140625" bestFit="1" customWidth="1"/>
    <col min="501" max="501" width="6.6640625" bestFit="1" customWidth="1"/>
    <col min="502" max="502" width="9.109375" bestFit="1" customWidth="1"/>
    <col min="503" max="503" width="6.6640625" bestFit="1" customWidth="1"/>
    <col min="504" max="504" width="9.109375" bestFit="1" customWidth="1"/>
    <col min="505" max="505" width="7" bestFit="1" customWidth="1"/>
    <col min="506" max="506" width="9.109375" bestFit="1" customWidth="1"/>
    <col min="507" max="507" width="7" bestFit="1" customWidth="1"/>
    <col min="508" max="508" width="9.109375" bestFit="1" customWidth="1"/>
    <col min="509" max="509" width="9.44140625" bestFit="1" customWidth="1"/>
    <col min="510" max="510" width="7" bestFit="1" customWidth="1"/>
    <col min="511" max="511" width="9.109375" bestFit="1" customWidth="1"/>
    <col min="512" max="512" width="6.33203125" bestFit="1" customWidth="1"/>
    <col min="513" max="513" width="9.109375" bestFit="1" customWidth="1"/>
    <col min="514" max="514" width="6.6640625" bestFit="1" customWidth="1"/>
    <col min="515" max="515" width="9.109375" bestFit="1" customWidth="1"/>
    <col min="516" max="516" width="6.6640625" bestFit="1" customWidth="1"/>
    <col min="517" max="517" width="9.109375" bestFit="1" customWidth="1"/>
    <col min="518" max="518" width="9.44140625" bestFit="1" customWidth="1"/>
    <col min="519" max="519" width="6.6640625" bestFit="1" customWidth="1"/>
    <col min="520" max="520" width="9.109375" bestFit="1" customWidth="1"/>
    <col min="521" max="521" width="6.6640625" bestFit="1" customWidth="1"/>
    <col min="522" max="522" width="9.109375" bestFit="1" customWidth="1"/>
    <col min="523" max="523" width="6.33203125" bestFit="1" customWidth="1"/>
    <col min="524" max="524" width="9.109375" bestFit="1" customWidth="1"/>
    <col min="525" max="525" width="6.33203125" bestFit="1" customWidth="1"/>
    <col min="526" max="526" width="9.109375" bestFit="1" customWidth="1"/>
    <col min="527" max="527" width="9.44140625" bestFit="1" customWidth="1"/>
    <col min="528" max="528" width="6.6640625" bestFit="1" customWidth="1"/>
    <col min="529" max="529" width="9.109375" bestFit="1" customWidth="1"/>
    <col min="530" max="530" width="6.33203125" bestFit="1" customWidth="1"/>
    <col min="531" max="531" width="9.109375" bestFit="1" customWidth="1"/>
    <col min="532" max="532" width="6.6640625" bestFit="1" customWidth="1"/>
    <col min="533" max="533" width="9.109375" bestFit="1" customWidth="1"/>
    <col min="534" max="534" width="6.6640625" bestFit="1" customWidth="1"/>
    <col min="535" max="535" width="9.109375" bestFit="1" customWidth="1"/>
    <col min="536" max="536" width="9.44140625" bestFit="1" customWidth="1"/>
    <col min="537" max="537" width="6.6640625" bestFit="1" customWidth="1"/>
    <col min="538" max="538" width="9.109375" bestFit="1" customWidth="1"/>
    <col min="539" max="539" width="6.33203125" bestFit="1" customWidth="1"/>
    <col min="540" max="540" width="9.109375" bestFit="1" customWidth="1"/>
    <col min="541" max="541" width="6.33203125" bestFit="1" customWidth="1"/>
    <col min="542" max="542" width="9.109375" bestFit="1" customWidth="1"/>
    <col min="543" max="543" width="6.6640625" bestFit="1" customWidth="1"/>
    <col min="544" max="544" width="9.109375" bestFit="1" customWidth="1"/>
    <col min="545" max="545" width="9.44140625" bestFit="1" customWidth="1"/>
    <col min="546" max="546" width="6.6640625" bestFit="1" customWidth="1"/>
    <col min="547" max="547" width="9.109375" bestFit="1" customWidth="1"/>
    <col min="548" max="548" width="6.6640625" bestFit="1" customWidth="1"/>
    <col min="549" max="549" width="9.109375" bestFit="1" customWidth="1"/>
    <col min="550" max="550" width="6.33203125" bestFit="1" customWidth="1"/>
    <col min="551" max="551" width="9.109375" bestFit="1" customWidth="1"/>
    <col min="552" max="552" width="6.33203125" bestFit="1" customWidth="1"/>
    <col min="553" max="553" width="9.109375" bestFit="1" customWidth="1"/>
    <col min="554" max="554" width="9.44140625" bestFit="1" customWidth="1"/>
    <col min="555" max="555" width="7" bestFit="1" customWidth="1"/>
    <col min="556" max="556" width="9.109375" bestFit="1" customWidth="1"/>
    <col min="557" max="557" width="6.33203125" bestFit="1" customWidth="1"/>
    <col min="558" max="558" width="9.109375" bestFit="1" customWidth="1"/>
    <col min="559" max="559" width="6.33203125" bestFit="1" customWidth="1"/>
    <col min="560" max="560" width="9.109375" bestFit="1" customWidth="1"/>
    <col min="561" max="561" width="6.33203125" bestFit="1" customWidth="1"/>
    <col min="562" max="562" width="9.109375" bestFit="1" customWidth="1"/>
    <col min="563" max="563" width="9.44140625" bestFit="1" customWidth="1"/>
    <col min="564" max="564" width="6.6640625" bestFit="1" customWidth="1"/>
    <col min="565" max="565" width="9.109375" bestFit="1" customWidth="1"/>
    <col min="566" max="566" width="6.6640625" bestFit="1" customWidth="1"/>
    <col min="567" max="567" width="9.109375" bestFit="1" customWidth="1"/>
    <col min="568" max="568" width="6.6640625" bestFit="1" customWidth="1"/>
    <col min="569" max="569" width="9.109375" bestFit="1" customWidth="1"/>
    <col min="570" max="570" width="6.6640625" bestFit="1" customWidth="1"/>
    <col min="571" max="571" width="9.109375" bestFit="1" customWidth="1"/>
    <col min="572" max="572" width="9.44140625" bestFit="1" customWidth="1"/>
    <col min="573" max="573" width="6.6640625" bestFit="1" customWidth="1"/>
    <col min="574" max="574" width="9.109375" bestFit="1" customWidth="1"/>
    <col min="575" max="575" width="6.6640625" bestFit="1" customWidth="1"/>
    <col min="576" max="576" width="9.109375" bestFit="1" customWidth="1"/>
    <col min="577" max="577" width="6.6640625" bestFit="1" customWidth="1"/>
    <col min="578" max="578" width="9.109375" bestFit="1" customWidth="1"/>
    <col min="579" max="579" width="6.6640625" bestFit="1" customWidth="1"/>
    <col min="580" max="580" width="9.109375" bestFit="1" customWidth="1"/>
    <col min="581" max="581" width="9.44140625" bestFit="1" customWidth="1"/>
    <col min="582" max="582" width="6.6640625" bestFit="1" customWidth="1"/>
    <col min="583" max="583" width="9.109375" bestFit="1" customWidth="1"/>
    <col min="584" max="584" width="6.6640625" bestFit="1" customWidth="1"/>
    <col min="585" max="585" width="9.109375" bestFit="1" customWidth="1"/>
    <col min="586" max="586" width="6.6640625" bestFit="1" customWidth="1"/>
    <col min="587" max="587" width="9.109375" bestFit="1" customWidth="1"/>
    <col min="588" max="588" width="6.6640625" bestFit="1" customWidth="1"/>
    <col min="589" max="589" width="9.109375" bestFit="1" customWidth="1"/>
    <col min="590" max="590" width="9.44140625" bestFit="1" customWidth="1"/>
    <col min="591" max="591" width="6.6640625" bestFit="1" customWidth="1"/>
    <col min="592" max="592" width="9.109375" bestFit="1" customWidth="1"/>
    <col min="593" max="593" width="6.6640625" bestFit="1" customWidth="1"/>
    <col min="594" max="594" width="9.109375" bestFit="1" customWidth="1"/>
    <col min="595" max="595" width="6.6640625" bestFit="1" customWidth="1"/>
    <col min="596" max="596" width="9.109375" bestFit="1" customWidth="1"/>
    <col min="597" max="597" width="6.33203125" bestFit="1" customWidth="1"/>
    <col min="598" max="598" width="9.109375" bestFit="1" customWidth="1"/>
    <col min="599" max="599" width="9.44140625" bestFit="1" customWidth="1"/>
    <col min="600" max="600" width="7" bestFit="1" customWidth="1"/>
    <col min="601" max="601" width="9.109375" bestFit="1" customWidth="1"/>
    <col min="602" max="602" width="7" bestFit="1" customWidth="1"/>
    <col min="603" max="603" width="9.109375" bestFit="1" customWidth="1"/>
    <col min="604" max="604" width="7" bestFit="1" customWidth="1"/>
    <col min="605" max="605" width="9.109375" bestFit="1" customWidth="1"/>
    <col min="606" max="606" width="7" bestFit="1" customWidth="1"/>
    <col min="607" max="607" width="9.109375" bestFit="1" customWidth="1"/>
    <col min="608" max="608" width="9.44140625" bestFit="1" customWidth="1"/>
    <col min="609" max="609" width="6.6640625" bestFit="1" customWidth="1"/>
    <col min="610" max="610" width="9.109375" bestFit="1" customWidth="1"/>
    <col min="611" max="611" width="6.33203125" bestFit="1" customWidth="1"/>
    <col min="612" max="612" width="9.109375" bestFit="1" customWidth="1"/>
    <col min="613" max="613" width="6.33203125" bestFit="1" customWidth="1"/>
    <col min="614" max="614" width="9.109375" bestFit="1" customWidth="1"/>
    <col min="615" max="615" width="6.6640625" bestFit="1" customWidth="1"/>
    <col min="616" max="616" width="9.109375" bestFit="1" customWidth="1"/>
    <col min="617" max="617" width="9.44140625" bestFit="1" customWidth="1"/>
    <col min="618" max="618" width="6.6640625" bestFit="1" customWidth="1"/>
    <col min="619" max="619" width="9.109375" bestFit="1" customWidth="1"/>
    <col min="620" max="620" width="6.33203125" bestFit="1" customWidth="1"/>
    <col min="621" max="621" width="9.109375" bestFit="1" customWidth="1"/>
    <col min="622" max="622" width="6.6640625" bestFit="1" customWidth="1"/>
    <col min="623" max="623" width="9.109375" bestFit="1" customWidth="1"/>
    <col min="624" max="624" width="6.6640625" bestFit="1" customWidth="1"/>
    <col min="625" max="625" width="9.109375" bestFit="1" customWidth="1"/>
    <col min="626" max="626" width="9.44140625" bestFit="1" customWidth="1"/>
    <col min="627" max="627" width="6.6640625" bestFit="1" customWidth="1"/>
    <col min="628" max="628" width="9.109375" bestFit="1" customWidth="1"/>
    <col min="629" max="629" width="6.6640625" bestFit="1" customWidth="1"/>
    <col min="630" max="630" width="9.109375" bestFit="1" customWidth="1"/>
    <col min="631" max="631" width="6.6640625" bestFit="1" customWidth="1"/>
    <col min="632" max="632" width="9.109375" bestFit="1" customWidth="1"/>
    <col min="633" max="633" width="6.6640625" bestFit="1" customWidth="1"/>
    <col min="634" max="634" width="9.109375" bestFit="1" customWidth="1"/>
    <col min="635" max="635" width="9.44140625" bestFit="1" customWidth="1"/>
    <col min="636" max="636" width="7.6640625" bestFit="1" customWidth="1"/>
    <col min="637" max="637" width="9.109375" bestFit="1" customWidth="1"/>
    <col min="638" max="638" width="6.6640625" bestFit="1" customWidth="1"/>
    <col min="639" max="639" width="9.109375" bestFit="1" customWidth="1"/>
    <col min="640" max="640" width="6.6640625" bestFit="1" customWidth="1"/>
    <col min="641" max="641" width="9.109375" bestFit="1" customWidth="1"/>
    <col min="642" max="642" width="6.6640625" bestFit="1" customWidth="1"/>
    <col min="643" max="643" width="9.109375" bestFit="1" customWidth="1"/>
    <col min="644" max="644" width="9.44140625" bestFit="1" customWidth="1"/>
    <col min="645" max="645" width="6.6640625" bestFit="1" customWidth="1"/>
    <col min="646" max="646" width="9.109375" bestFit="1" customWidth="1"/>
    <col min="647" max="647" width="6.33203125" bestFit="1" customWidth="1"/>
    <col min="648" max="648" width="9.109375" bestFit="1" customWidth="1"/>
    <col min="649" max="649" width="6.33203125" bestFit="1" customWidth="1"/>
    <col min="650" max="650" width="9.109375" bestFit="1" customWidth="1"/>
    <col min="651" max="651" width="6.33203125" bestFit="1" customWidth="1"/>
    <col min="652" max="652" width="9.109375" bestFit="1" customWidth="1"/>
    <col min="653" max="653" width="9.44140625" bestFit="1" customWidth="1"/>
    <col min="654" max="654" width="6.6640625" bestFit="1" customWidth="1"/>
    <col min="655" max="655" width="9.109375" bestFit="1" customWidth="1"/>
    <col min="656" max="656" width="6.6640625" bestFit="1" customWidth="1"/>
    <col min="657" max="657" width="9.109375" bestFit="1" customWidth="1"/>
    <col min="658" max="658" width="6.6640625" bestFit="1" customWidth="1"/>
    <col min="659" max="659" width="9.109375" bestFit="1" customWidth="1"/>
    <col min="660" max="660" width="6.6640625" bestFit="1" customWidth="1"/>
    <col min="661" max="661" width="9.109375" bestFit="1" customWidth="1"/>
    <col min="662" max="662" width="9.44140625" bestFit="1" customWidth="1"/>
    <col min="663" max="663" width="6.6640625" bestFit="1" customWidth="1"/>
    <col min="664" max="664" width="9.109375" bestFit="1" customWidth="1"/>
    <col min="665" max="665" width="6.33203125" bestFit="1" customWidth="1"/>
    <col min="666" max="666" width="9.109375" bestFit="1" customWidth="1"/>
    <col min="667" max="667" width="6.6640625" bestFit="1" customWidth="1"/>
    <col min="668" max="668" width="9.109375" bestFit="1" customWidth="1"/>
    <col min="669" max="669" width="7" bestFit="1" customWidth="1"/>
    <col min="670" max="670" width="9.109375" bestFit="1" customWidth="1"/>
    <col min="671" max="671" width="9.44140625" bestFit="1" customWidth="1"/>
    <col min="672" max="672" width="6.6640625" bestFit="1" customWidth="1"/>
    <col min="673" max="673" width="9.109375" bestFit="1" customWidth="1"/>
    <col min="674" max="674" width="6.6640625" bestFit="1" customWidth="1"/>
    <col min="675" max="675" width="9.109375" bestFit="1" customWidth="1"/>
    <col min="676" max="676" width="6.6640625" bestFit="1" customWidth="1"/>
    <col min="677" max="677" width="9.109375" bestFit="1" customWidth="1"/>
    <col min="678" max="678" width="6.6640625" bestFit="1" customWidth="1"/>
    <col min="679" max="679" width="9.109375" bestFit="1" customWidth="1"/>
    <col min="680" max="680" width="9.44140625" bestFit="1" customWidth="1"/>
    <col min="681" max="681" width="6.6640625" bestFit="1" customWidth="1"/>
    <col min="682" max="682" width="9.109375" bestFit="1" customWidth="1"/>
    <col min="683" max="683" width="6.6640625" bestFit="1" customWidth="1"/>
    <col min="684" max="684" width="9.109375" bestFit="1" customWidth="1"/>
    <col min="685" max="685" width="6.6640625" bestFit="1" customWidth="1"/>
    <col min="686" max="686" width="9.109375" bestFit="1" customWidth="1"/>
    <col min="687" max="687" width="6.6640625" bestFit="1" customWidth="1"/>
    <col min="688" max="688" width="9.109375" bestFit="1" customWidth="1"/>
    <col min="689" max="689" width="9.44140625" bestFit="1" customWidth="1"/>
    <col min="690" max="690" width="6.6640625" bestFit="1" customWidth="1"/>
    <col min="691" max="691" width="9.109375" bestFit="1" customWidth="1"/>
    <col min="692" max="692" width="6.6640625" bestFit="1" customWidth="1"/>
    <col min="693" max="693" width="9.109375" bestFit="1" customWidth="1"/>
    <col min="694" max="694" width="6.6640625" bestFit="1" customWidth="1"/>
    <col min="695" max="695" width="9.109375" bestFit="1" customWidth="1"/>
    <col min="696" max="696" width="6.33203125" bestFit="1" customWidth="1"/>
    <col min="697" max="697" width="9.109375" bestFit="1" customWidth="1"/>
    <col min="698" max="698" width="9.44140625" bestFit="1" customWidth="1"/>
    <col min="699" max="699" width="7" bestFit="1" customWidth="1"/>
    <col min="700" max="700" width="9.109375" bestFit="1" customWidth="1"/>
    <col min="701" max="701" width="7" bestFit="1" customWidth="1"/>
    <col min="702" max="702" width="9.109375" bestFit="1" customWidth="1"/>
    <col min="703" max="703" width="7" bestFit="1" customWidth="1"/>
    <col min="704" max="704" width="9.109375" bestFit="1" customWidth="1"/>
    <col min="705" max="705" width="7" bestFit="1" customWidth="1"/>
    <col min="706" max="706" width="9.109375" bestFit="1" customWidth="1"/>
    <col min="707" max="707" width="9.44140625" bestFit="1" customWidth="1"/>
    <col min="708" max="708" width="7" bestFit="1" customWidth="1"/>
    <col min="709" max="709" width="9.109375" bestFit="1" customWidth="1"/>
    <col min="710" max="710" width="7" bestFit="1" customWidth="1"/>
    <col min="711" max="711" width="9.109375" bestFit="1" customWidth="1"/>
    <col min="712" max="712" width="7" bestFit="1" customWidth="1"/>
    <col min="713" max="713" width="9.109375" bestFit="1" customWidth="1"/>
    <col min="714" max="714" width="7" bestFit="1" customWidth="1"/>
    <col min="715" max="715" width="9.109375" bestFit="1" customWidth="1"/>
    <col min="716" max="716" width="9.44140625" bestFit="1" customWidth="1"/>
    <col min="717" max="717" width="7" bestFit="1" customWidth="1"/>
    <col min="718" max="718" width="9.109375" bestFit="1" customWidth="1"/>
    <col min="719" max="719" width="6.33203125" bestFit="1" customWidth="1"/>
    <col min="720" max="720" width="9.109375" bestFit="1" customWidth="1"/>
    <col min="721" max="721" width="6.6640625" bestFit="1" customWidth="1"/>
    <col min="722" max="722" width="9.109375" bestFit="1" customWidth="1"/>
    <col min="723" max="723" width="7" bestFit="1" customWidth="1"/>
    <col min="724" max="724" width="9.109375" bestFit="1" customWidth="1"/>
    <col min="725" max="725" width="9.44140625" bestFit="1" customWidth="1"/>
    <col min="726" max="726" width="6.6640625" bestFit="1" customWidth="1"/>
    <col min="727" max="727" width="9.109375" bestFit="1" customWidth="1"/>
    <col min="728" max="728" width="6.33203125" bestFit="1" customWidth="1"/>
    <col min="729" max="729" width="9.109375" bestFit="1" customWidth="1"/>
    <col min="730" max="730" width="6.33203125" bestFit="1" customWidth="1"/>
    <col min="731" max="731" width="9.109375" bestFit="1" customWidth="1"/>
    <col min="732" max="732" width="6.6640625" bestFit="1" customWidth="1"/>
    <col min="733" max="733" width="9.109375" bestFit="1" customWidth="1"/>
    <col min="734" max="734" width="9.44140625" bestFit="1" customWidth="1"/>
    <col min="735" max="735" width="6.6640625" bestFit="1" customWidth="1"/>
    <col min="736" max="736" width="9.109375" bestFit="1" customWidth="1"/>
    <col min="737" max="737" width="7" bestFit="1" customWidth="1"/>
    <col min="738" max="738" width="9.109375" bestFit="1" customWidth="1"/>
    <col min="739" max="739" width="7" bestFit="1" customWidth="1"/>
    <col min="740" max="740" width="9.109375" bestFit="1" customWidth="1"/>
    <col min="741" max="741" width="6.6640625" bestFit="1" customWidth="1"/>
    <col min="742" max="742" width="9.109375" bestFit="1" customWidth="1"/>
    <col min="743" max="743" width="9.44140625" bestFit="1" customWidth="1"/>
    <col min="744" max="744" width="6.6640625" bestFit="1" customWidth="1"/>
    <col min="745" max="745" width="9.109375" bestFit="1" customWidth="1"/>
    <col min="746" max="746" width="6.6640625" bestFit="1" customWidth="1"/>
    <col min="747" max="747" width="9.109375" bestFit="1" customWidth="1"/>
    <col min="748" max="748" width="6.6640625" bestFit="1" customWidth="1"/>
    <col min="749" max="749" width="9.109375" bestFit="1" customWidth="1"/>
    <col min="750" max="750" width="6.6640625" bestFit="1" customWidth="1"/>
    <col min="751" max="751" width="9.109375" bestFit="1" customWidth="1"/>
    <col min="752" max="752" width="9.44140625" bestFit="1" customWidth="1"/>
    <col min="753" max="753" width="6.6640625" bestFit="1" customWidth="1"/>
    <col min="754" max="754" width="9.109375" bestFit="1" customWidth="1"/>
    <col min="755" max="755" width="7" bestFit="1" customWidth="1"/>
    <col min="756" max="756" width="9.109375" bestFit="1" customWidth="1"/>
    <col min="757" max="757" width="8" bestFit="1" customWidth="1"/>
    <col min="758" max="758" width="9.109375" bestFit="1" customWidth="1"/>
    <col min="759" max="759" width="8" bestFit="1" customWidth="1"/>
    <col min="760" max="760" width="9.109375" bestFit="1" customWidth="1"/>
    <col min="761" max="761" width="9.44140625" bestFit="1" customWidth="1"/>
    <col min="762" max="762" width="8" bestFit="1" customWidth="1"/>
    <col min="763" max="763" width="9.109375" bestFit="1" customWidth="1"/>
    <col min="764" max="764" width="7" bestFit="1" customWidth="1"/>
    <col min="765" max="765" width="9.109375" bestFit="1" customWidth="1"/>
    <col min="766" max="766" width="7" bestFit="1" customWidth="1"/>
    <col min="767" max="767" width="9.109375" bestFit="1" customWidth="1"/>
    <col min="768" max="768" width="6.33203125" bestFit="1" customWidth="1"/>
    <col min="769" max="769" width="9.109375" bestFit="1" customWidth="1"/>
    <col min="770" max="770" width="9.44140625" bestFit="1" customWidth="1"/>
    <col min="771" max="771" width="6.6640625" bestFit="1" customWidth="1"/>
    <col min="772" max="772" width="9.109375" bestFit="1" customWidth="1"/>
    <col min="773" max="773" width="6.33203125" bestFit="1" customWidth="1"/>
    <col min="774" max="774" width="9.109375" bestFit="1" customWidth="1"/>
    <col min="775" max="775" width="6.33203125" bestFit="1" customWidth="1"/>
    <col min="776" max="776" width="9.109375" bestFit="1" customWidth="1"/>
    <col min="777" max="777" width="6.6640625" bestFit="1" customWidth="1"/>
    <col min="778" max="778" width="9.109375" bestFit="1" customWidth="1"/>
    <col min="779" max="779" width="9.44140625" bestFit="1" customWidth="1"/>
    <col min="780" max="780" width="6.6640625" bestFit="1" customWidth="1"/>
    <col min="781" max="781" width="9.109375" bestFit="1" customWidth="1"/>
    <col min="782" max="782" width="6.6640625" bestFit="1" customWidth="1"/>
    <col min="783" max="783" width="9.109375" bestFit="1" customWidth="1"/>
    <col min="784" max="784" width="6.6640625" bestFit="1" customWidth="1"/>
    <col min="785" max="785" width="9.109375" bestFit="1" customWidth="1"/>
    <col min="786" max="786" width="6.6640625" bestFit="1" customWidth="1"/>
    <col min="787" max="787" width="9.109375" bestFit="1" customWidth="1"/>
    <col min="788" max="788" width="9.44140625" bestFit="1" customWidth="1"/>
    <col min="789" max="789" width="6.6640625" bestFit="1" customWidth="1"/>
    <col min="790" max="790" width="9.109375" bestFit="1" customWidth="1"/>
    <col min="791" max="791" width="6.6640625" bestFit="1" customWidth="1"/>
    <col min="792" max="792" width="9.109375" bestFit="1" customWidth="1"/>
    <col min="793" max="793" width="9.44140625" bestFit="1" customWidth="1"/>
    <col min="794" max="794" width="10.5546875" bestFit="1" customWidth="1"/>
    <col min="795" max="795" width="9.33203125" bestFit="1" customWidth="1"/>
    <col min="796" max="796" width="8.44140625" bestFit="1" customWidth="1"/>
    <col min="797" max="797" width="9.109375" bestFit="1" customWidth="1"/>
    <col min="798" max="798" width="9.44140625" bestFit="1" customWidth="1"/>
    <col min="799" max="799" width="8.33203125" bestFit="1" customWidth="1"/>
    <col min="800" max="800" width="8.109375" bestFit="1" customWidth="1"/>
    <col min="801" max="801" width="9.109375" bestFit="1" customWidth="1"/>
    <col min="802" max="803" width="8.33203125" bestFit="1" customWidth="1"/>
    <col min="804" max="804" width="9.109375" bestFit="1" customWidth="1"/>
    <col min="805" max="805" width="8.33203125" bestFit="1" customWidth="1"/>
    <col min="806" max="806" width="7.6640625" bestFit="1" customWidth="1"/>
    <col min="807" max="807" width="9.109375" bestFit="1" customWidth="1"/>
    <col min="808" max="808" width="9.33203125" bestFit="1" customWidth="1"/>
    <col min="809" max="809" width="8.44140625" bestFit="1" customWidth="1"/>
    <col min="810" max="810" width="9.109375" bestFit="1" customWidth="1"/>
    <col min="811" max="811" width="9.44140625" bestFit="1" customWidth="1"/>
    <col min="812" max="812" width="8.33203125" bestFit="1" customWidth="1"/>
    <col min="813" max="813" width="8.109375" bestFit="1" customWidth="1"/>
    <col min="814" max="814" width="9.109375" bestFit="1" customWidth="1"/>
    <col min="815" max="816" width="8.33203125" bestFit="1" customWidth="1"/>
    <col min="817" max="817" width="9.109375" bestFit="1" customWidth="1"/>
    <col min="818" max="818" width="8.33203125" bestFit="1" customWidth="1"/>
    <col min="819" max="819" width="7.6640625" bestFit="1" customWidth="1"/>
    <col min="820" max="820" width="9.109375" bestFit="1" customWidth="1"/>
    <col min="821" max="821" width="9.33203125" bestFit="1" customWidth="1"/>
    <col min="822" max="822" width="8.44140625" bestFit="1" customWidth="1"/>
    <col min="823" max="823" width="9.109375" bestFit="1" customWidth="1"/>
    <col min="824" max="824" width="9.44140625" bestFit="1" customWidth="1"/>
    <col min="825" max="825" width="8.33203125" bestFit="1" customWidth="1"/>
    <col min="826" max="826" width="8.109375" bestFit="1" customWidth="1"/>
    <col min="827" max="827" width="9.109375" bestFit="1" customWidth="1"/>
    <col min="828" max="829" width="8.33203125" bestFit="1" customWidth="1"/>
    <col min="830" max="830" width="9.109375" bestFit="1" customWidth="1"/>
    <col min="831" max="831" width="8.33203125" bestFit="1" customWidth="1"/>
    <col min="832" max="832" width="7.6640625" bestFit="1" customWidth="1"/>
    <col min="833" max="833" width="9.109375" bestFit="1" customWidth="1"/>
    <col min="834" max="834" width="9.33203125" bestFit="1" customWidth="1"/>
    <col min="835" max="835" width="8.44140625" bestFit="1" customWidth="1"/>
    <col min="836" max="836" width="9.109375" bestFit="1" customWidth="1"/>
    <col min="837" max="837" width="9.44140625" bestFit="1" customWidth="1"/>
    <col min="838" max="838" width="8.33203125" bestFit="1" customWidth="1"/>
    <col min="839" max="839" width="8.109375" bestFit="1" customWidth="1"/>
    <col min="840" max="840" width="9.109375" bestFit="1" customWidth="1"/>
    <col min="841" max="842" width="8.33203125" bestFit="1" customWidth="1"/>
    <col min="843" max="843" width="9.109375" bestFit="1" customWidth="1"/>
    <col min="844" max="844" width="8.33203125" bestFit="1" customWidth="1"/>
    <col min="845" max="845" width="7.6640625" bestFit="1" customWidth="1"/>
    <col min="846" max="846" width="9.109375" bestFit="1" customWidth="1"/>
    <col min="847" max="847" width="9.33203125" bestFit="1" customWidth="1"/>
    <col min="848" max="848" width="8.44140625" bestFit="1" customWidth="1"/>
    <col min="849" max="849" width="9.109375" bestFit="1" customWidth="1"/>
    <col min="850" max="850" width="9.44140625" bestFit="1" customWidth="1"/>
    <col min="851" max="851" width="8.33203125" bestFit="1" customWidth="1"/>
    <col min="852" max="852" width="8.109375" bestFit="1" customWidth="1"/>
    <col min="853" max="853" width="9.109375" bestFit="1" customWidth="1"/>
    <col min="854" max="855" width="8.33203125" bestFit="1" customWidth="1"/>
    <col min="856" max="856" width="9.109375" bestFit="1" customWidth="1"/>
    <col min="857" max="857" width="8.33203125" bestFit="1" customWidth="1"/>
    <col min="858" max="858" width="7.6640625" bestFit="1" customWidth="1"/>
    <col min="859" max="859" width="9.109375" bestFit="1" customWidth="1"/>
    <col min="860" max="860" width="9.33203125" bestFit="1" customWidth="1"/>
    <col min="861" max="861" width="8.44140625" bestFit="1" customWidth="1"/>
    <col min="862" max="862" width="9.109375" bestFit="1" customWidth="1"/>
    <col min="863" max="863" width="9.44140625" bestFit="1" customWidth="1"/>
    <col min="864" max="864" width="8.33203125" bestFit="1" customWidth="1"/>
    <col min="865" max="865" width="8.109375" bestFit="1" customWidth="1"/>
    <col min="866" max="866" width="9.109375" bestFit="1" customWidth="1"/>
    <col min="867" max="868" width="8.33203125" bestFit="1" customWidth="1"/>
    <col min="869" max="869" width="9.109375" bestFit="1" customWidth="1"/>
    <col min="870" max="870" width="8.33203125" bestFit="1" customWidth="1"/>
    <col min="871" max="871" width="7.6640625" bestFit="1" customWidth="1"/>
    <col min="872" max="872" width="9.109375" bestFit="1" customWidth="1"/>
    <col min="873" max="873" width="9.33203125" bestFit="1" customWidth="1"/>
    <col min="874" max="874" width="8.44140625" bestFit="1" customWidth="1"/>
    <col min="875" max="875" width="9.109375" bestFit="1" customWidth="1"/>
    <col min="876" max="876" width="9.44140625" bestFit="1" customWidth="1"/>
    <col min="877" max="877" width="8.33203125" bestFit="1" customWidth="1"/>
    <col min="878" max="878" width="8.109375" bestFit="1" customWidth="1"/>
    <col min="879" max="879" width="9.109375" bestFit="1" customWidth="1"/>
    <col min="880" max="881" width="8.33203125" bestFit="1" customWidth="1"/>
    <col min="882" max="882" width="9.109375" bestFit="1" customWidth="1"/>
    <col min="883" max="883" width="8.33203125" bestFit="1" customWidth="1"/>
    <col min="884" max="884" width="7.6640625" bestFit="1" customWidth="1"/>
    <col min="885" max="885" width="9.109375" bestFit="1" customWidth="1"/>
    <col min="886" max="886" width="9.33203125" bestFit="1" customWidth="1"/>
    <col min="887" max="887" width="8.44140625" bestFit="1" customWidth="1"/>
    <col min="888" max="888" width="9.109375" bestFit="1" customWidth="1"/>
    <col min="889" max="889" width="9.44140625" bestFit="1" customWidth="1"/>
    <col min="890" max="890" width="8.33203125" bestFit="1" customWidth="1"/>
    <col min="891" max="891" width="8.109375" bestFit="1" customWidth="1"/>
    <col min="892" max="892" width="9.109375" bestFit="1" customWidth="1"/>
    <col min="893" max="894" width="8.33203125" bestFit="1" customWidth="1"/>
    <col min="895" max="895" width="9.109375" bestFit="1" customWidth="1"/>
    <col min="896" max="896" width="8.33203125" bestFit="1" customWidth="1"/>
    <col min="897" max="897" width="7.6640625" bestFit="1" customWidth="1"/>
    <col min="898" max="898" width="9.109375" bestFit="1" customWidth="1"/>
    <col min="899" max="899" width="9.33203125" bestFit="1" customWidth="1"/>
    <col min="900" max="900" width="8.44140625" bestFit="1" customWidth="1"/>
    <col min="901" max="901" width="9.109375" bestFit="1" customWidth="1"/>
    <col min="902" max="902" width="9.44140625" bestFit="1" customWidth="1"/>
    <col min="903" max="903" width="8.33203125" bestFit="1" customWidth="1"/>
    <col min="904" max="904" width="8.109375" bestFit="1" customWidth="1"/>
    <col min="905" max="905" width="9.109375" bestFit="1" customWidth="1"/>
    <col min="906" max="907" width="8.33203125" bestFit="1" customWidth="1"/>
    <col min="908" max="908" width="9.109375" bestFit="1" customWidth="1"/>
    <col min="909" max="909" width="8.33203125" bestFit="1" customWidth="1"/>
    <col min="910" max="910" width="7.6640625" bestFit="1" customWidth="1"/>
    <col min="911" max="911" width="9.109375" bestFit="1" customWidth="1"/>
    <col min="912" max="912" width="9.33203125" bestFit="1" customWidth="1"/>
    <col min="913" max="913" width="8.44140625" bestFit="1" customWidth="1"/>
    <col min="914" max="914" width="9.109375" bestFit="1" customWidth="1"/>
    <col min="915" max="915" width="9.44140625" bestFit="1" customWidth="1"/>
    <col min="916" max="916" width="8.33203125" bestFit="1" customWidth="1"/>
    <col min="917" max="917" width="8.109375" bestFit="1" customWidth="1"/>
    <col min="918" max="918" width="9.109375" bestFit="1" customWidth="1"/>
    <col min="919" max="920" width="8.33203125" bestFit="1" customWidth="1"/>
    <col min="921" max="921" width="9.109375" bestFit="1" customWidth="1"/>
    <col min="922" max="922" width="8.33203125" bestFit="1" customWidth="1"/>
    <col min="923" max="923" width="7.6640625" bestFit="1" customWidth="1"/>
    <col min="924" max="924" width="9.109375" bestFit="1" customWidth="1"/>
    <col min="925" max="925" width="9.33203125" bestFit="1" customWidth="1"/>
    <col min="926" max="926" width="8.44140625" bestFit="1" customWidth="1"/>
    <col min="927" max="927" width="9.109375" bestFit="1" customWidth="1"/>
    <col min="928" max="928" width="9.44140625" bestFit="1" customWidth="1"/>
    <col min="929" max="929" width="8.33203125" bestFit="1" customWidth="1"/>
    <col min="930" max="930" width="8.109375" bestFit="1" customWidth="1"/>
    <col min="931" max="931" width="9.109375" bestFit="1" customWidth="1"/>
    <col min="932" max="933" width="8.33203125" bestFit="1" customWidth="1"/>
    <col min="934" max="934" width="9.109375" bestFit="1" customWidth="1"/>
    <col min="935" max="935" width="8.33203125" bestFit="1" customWidth="1"/>
    <col min="936" max="936" width="7.6640625" bestFit="1" customWidth="1"/>
    <col min="937" max="937" width="9.109375" bestFit="1" customWidth="1"/>
    <col min="938" max="938" width="9.33203125" bestFit="1" customWidth="1"/>
    <col min="939" max="939" width="8.44140625" bestFit="1" customWidth="1"/>
    <col min="940" max="940" width="9.109375" bestFit="1" customWidth="1"/>
    <col min="941" max="941" width="9.44140625" bestFit="1" customWidth="1"/>
    <col min="942" max="942" width="8.33203125" bestFit="1" customWidth="1"/>
    <col min="943" max="943" width="8.109375" bestFit="1" customWidth="1"/>
    <col min="944" max="944" width="9.109375" bestFit="1" customWidth="1"/>
    <col min="945" max="946" width="8.33203125" bestFit="1" customWidth="1"/>
    <col min="947" max="947" width="9.109375" bestFit="1" customWidth="1"/>
    <col min="948" max="948" width="8.33203125" bestFit="1" customWidth="1"/>
    <col min="949" max="949" width="7.6640625" bestFit="1" customWidth="1"/>
    <col min="950" max="950" width="9.109375" bestFit="1" customWidth="1"/>
    <col min="951" max="951" width="9.33203125" bestFit="1" customWidth="1"/>
    <col min="952" max="952" width="8.44140625" bestFit="1" customWidth="1"/>
    <col min="953" max="953" width="9.109375" bestFit="1" customWidth="1"/>
    <col min="954" max="954" width="9.44140625" bestFit="1" customWidth="1"/>
    <col min="955" max="955" width="8.33203125" bestFit="1" customWidth="1"/>
    <col min="956" max="956" width="8.109375" bestFit="1" customWidth="1"/>
    <col min="957" max="957" width="9.109375" bestFit="1" customWidth="1"/>
    <col min="958" max="959" width="8.33203125" bestFit="1" customWidth="1"/>
    <col min="960" max="960" width="9.109375" bestFit="1" customWidth="1"/>
    <col min="961" max="961" width="8.33203125" bestFit="1" customWidth="1"/>
    <col min="962" max="962" width="7.6640625" bestFit="1" customWidth="1"/>
    <col min="963" max="963" width="9.109375" bestFit="1" customWidth="1"/>
    <col min="964" max="964" width="9.33203125" bestFit="1" customWidth="1"/>
    <col min="965" max="965" width="8.44140625" bestFit="1" customWidth="1"/>
    <col min="966" max="966" width="9.109375" bestFit="1" customWidth="1"/>
    <col min="967" max="967" width="9.44140625" bestFit="1" customWidth="1"/>
    <col min="968" max="968" width="8.33203125" bestFit="1" customWidth="1"/>
    <col min="969" max="969" width="8.109375" bestFit="1" customWidth="1"/>
    <col min="970" max="970" width="9.109375" bestFit="1" customWidth="1"/>
    <col min="971" max="972" width="8.33203125" bestFit="1" customWidth="1"/>
    <col min="973" max="973" width="9.109375" bestFit="1" customWidth="1"/>
    <col min="974" max="974" width="8.33203125" bestFit="1" customWidth="1"/>
    <col min="975" max="975" width="7.6640625" bestFit="1" customWidth="1"/>
    <col min="976" max="976" width="9.109375" bestFit="1" customWidth="1"/>
    <col min="977" max="977" width="9.33203125" bestFit="1" customWidth="1"/>
    <col min="978" max="978" width="8.44140625" bestFit="1" customWidth="1"/>
    <col min="979" max="979" width="9.109375" bestFit="1" customWidth="1"/>
    <col min="980" max="980" width="9.44140625" bestFit="1" customWidth="1"/>
    <col min="981" max="981" width="8.33203125" bestFit="1" customWidth="1"/>
    <col min="982" max="982" width="8.109375" bestFit="1" customWidth="1"/>
    <col min="983" max="983" width="9.109375" bestFit="1" customWidth="1"/>
    <col min="984" max="985" width="8.33203125" bestFit="1" customWidth="1"/>
    <col min="986" max="986" width="9.109375" bestFit="1" customWidth="1"/>
    <col min="987" max="987" width="8.33203125" bestFit="1" customWidth="1"/>
    <col min="988" max="988" width="7.6640625" bestFit="1" customWidth="1"/>
    <col min="989" max="989" width="9.109375" bestFit="1" customWidth="1"/>
    <col min="990" max="990" width="9.33203125" bestFit="1" customWidth="1"/>
    <col min="991" max="991" width="8.44140625" bestFit="1" customWidth="1"/>
    <col min="992" max="992" width="9.109375" bestFit="1" customWidth="1"/>
    <col min="993" max="993" width="9.44140625" bestFit="1" customWidth="1"/>
    <col min="994" max="994" width="8.33203125" bestFit="1" customWidth="1"/>
    <col min="995" max="995" width="8.109375" bestFit="1" customWidth="1"/>
    <col min="996" max="996" width="9.109375" bestFit="1" customWidth="1"/>
    <col min="997" max="998" width="8.33203125" bestFit="1" customWidth="1"/>
    <col min="999" max="999" width="9.109375" bestFit="1" customWidth="1"/>
    <col min="1000" max="1000" width="8.33203125" bestFit="1" customWidth="1"/>
    <col min="1001" max="1001" width="7.6640625" bestFit="1" customWidth="1"/>
    <col min="1002" max="1002" width="9.109375" bestFit="1" customWidth="1"/>
    <col min="1003" max="1003" width="9.33203125" bestFit="1" customWidth="1"/>
    <col min="1004" max="1004" width="8.44140625" bestFit="1" customWidth="1"/>
    <col min="1005" max="1005" width="9.109375" bestFit="1" customWidth="1"/>
    <col min="1006" max="1006" width="9.44140625" bestFit="1" customWidth="1"/>
    <col min="1007" max="1007" width="8.33203125" bestFit="1" customWidth="1"/>
    <col min="1008" max="1008" width="8.109375" bestFit="1" customWidth="1"/>
    <col min="1009" max="1009" width="9.109375" bestFit="1" customWidth="1"/>
    <col min="1010" max="1011" width="8.33203125" bestFit="1" customWidth="1"/>
    <col min="1012" max="1012" width="9.109375" bestFit="1" customWidth="1"/>
    <col min="1013" max="1013" width="8.33203125" bestFit="1" customWidth="1"/>
    <col min="1014" max="1014" width="7.6640625" bestFit="1" customWidth="1"/>
    <col min="1015" max="1015" width="9.109375" bestFit="1" customWidth="1"/>
    <col min="1016" max="1016" width="9.33203125" bestFit="1" customWidth="1"/>
    <col min="1017" max="1017" width="8.44140625" bestFit="1" customWidth="1"/>
    <col min="1018" max="1018" width="9.109375" bestFit="1" customWidth="1"/>
    <col min="1019" max="1019" width="9.44140625" bestFit="1" customWidth="1"/>
    <col min="1020" max="1020" width="8.33203125" bestFit="1" customWidth="1"/>
    <col min="1021" max="1021" width="8.109375" bestFit="1" customWidth="1"/>
    <col min="1022" max="1022" width="9.109375" bestFit="1" customWidth="1"/>
    <col min="1023" max="1024" width="8.33203125" bestFit="1" customWidth="1"/>
    <col min="1025" max="1025" width="9.109375" bestFit="1" customWidth="1"/>
    <col min="1026" max="1026" width="8.33203125" bestFit="1" customWidth="1"/>
    <col min="1027" max="1027" width="7.6640625" bestFit="1" customWidth="1"/>
    <col min="1028" max="1028" width="9.109375" bestFit="1" customWidth="1"/>
    <col min="1029" max="1029" width="9.33203125" bestFit="1" customWidth="1"/>
    <col min="1030" max="1030" width="8.44140625" bestFit="1" customWidth="1"/>
    <col min="1031" max="1031" width="9.109375" bestFit="1" customWidth="1"/>
    <col min="1032" max="1032" width="9.44140625" bestFit="1" customWidth="1"/>
    <col min="1033" max="1033" width="8.33203125" bestFit="1" customWidth="1"/>
    <col min="1034" max="1034" width="8.109375" bestFit="1" customWidth="1"/>
    <col min="1035" max="1035" width="9.109375" bestFit="1" customWidth="1"/>
    <col min="1036" max="1037" width="8.33203125" bestFit="1" customWidth="1"/>
    <col min="1038" max="1038" width="9.109375" bestFit="1" customWidth="1"/>
    <col min="1039" max="1039" width="8.33203125" bestFit="1" customWidth="1"/>
    <col min="1040" max="1040" width="7.6640625" bestFit="1" customWidth="1"/>
    <col min="1041" max="1041" width="9.109375" bestFit="1" customWidth="1"/>
    <col min="1042" max="1042" width="9.33203125" bestFit="1" customWidth="1"/>
    <col min="1043" max="1043" width="8.44140625" bestFit="1" customWidth="1"/>
    <col min="1044" max="1044" width="9.109375" bestFit="1" customWidth="1"/>
    <col min="1045" max="1045" width="9.44140625" bestFit="1" customWidth="1"/>
    <col min="1046" max="1046" width="8.33203125" bestFit="1" customWidth="1"/>
    <col min="1047" max="1047" width="8.109375" bestFit="1" customWidth="1"/>
    <col min="1048" max="1048" width="9.109375" bestFit="1" customWidth="1"/>
    <col min="1049" max="1050" width="8.33203125" bestFit="1" customWidth="1"/>
    <col min="1051" max="1051" width="9.109375" bestFit="1" customWidth="1"/>
    <col min="1052" max="1052" width="8.33203125" bestFit="1" customWidth="1"/>
    <col min="1053" max="1053" width="7.6640625" bestFit="1" customWidth="1"/>
    <col min="1054" max="1054" width="9.109375" bestFit="1" customWidth="1"/>
    <col min="1055" max="1055" width="9.33203125" bestFit="1" customWidth="1"/>
    <col min="1056" max="1056" width="8.44140625" bestFit="1" customWidth="1"/>
    <col min="1057" max="1057" width="9.109375" bestFit="1" customWidth="1"/>
    <col min="1058" max="1058" width="9.44140625" bestFit="1" customWidth="1"/>
    <col min="1059" max="1059" width="8.33203125" bestFit="1" customWidth="1"/>
    <col min="1060" max="1060" width="8.109375" bestFit="1" customWidth="1"/>
    <col min="1061" max="1061" width="9.109375" bestFit="1" customWidth="1"/>
    <col min="1062" max="1063" width="8.33203125" bestFit="1" customWidth="1"/>
    <col min="1064" max="1064" width="9.109375" bestFit="1" customWidth="1"/>
    <col min="1065" max="1065" width="8.33203125" bestFit="1" customWidth="1"/>
    <col min="1066" max="1066" width="7.6640625" bestFit="1" customWidth="1"/>
    <col min="1067" max="1067" width="9.109375" bestFit="1" customWidth="1"/>
    <col min="1068" max="1068" width="9.33203125" bestFit="1" customWidth="1"/>
    <col min="1069" max="1069" width="8.44140625" bestFit="1" customWidth="1"/>
    <col min="1070" max="1070" width="9.109375" bestFit="1" customWidth="1"/>
    <col min="1071" max="1071" width="9.44140625" bestFit="1" customWidth="1"/>
    <col min="1072" max="1072" width="8.33203125" bestFit="1" customWidth="1"/>
    <col min="1073" max="1073" width="8.109375" bestFit="1" customWidth="1"/>
    <col min="1074" max="1074" width="9.109375" bestFit="1" customWidth="1"/>
    <col min="1075" max="1076" width="8.33203125" bestFit="1" customWidth="1"/>
    <col min="1077" max="1077" width="9.109375" bestFit="1" customWidth="1"/>
    <col min="1078" max="1078" width="8.33203125" bestFit="1" customWidth="1"/>
    <col min="1079" max="1079" width="7.6640625" bestFit="1" customWidth="1"/>
    <col min="1080" max="1080" width="9.109375" bestFit="1" customWidth="1"/>
    <col min="1081" max="1081" width="9.33203125" bestFit="1" customWidth="1"/>
    <col min="1082" max="1082" width="8.44140625" bestFit="1" customWidth="1"/>
    <col min="1083" max="1083" width="9.109375" bestFit="1" customWidth="1"/>
    <col min="1084" max="1084" width="9.44140625" bestFit="1" customWidth="1"/>
    <col min="1085" max="1085" width="8.33203125" bestFit="1" customWidth="1"/>
    <col min="1086" max="1086" width="8.109375" bestFit="1" customWidth="1"/>
    <col min="1087" max="1087" width="9.109375" bestFit="1" customWidth="1"/>
    <col min="1088" max="1089" width="8.33203125" bestFit="1" customWidth="1"/>
    <col min="1090" max="1090" width="9.109375" bestFit="1" customWidth="1"/>
    <col min="1091" max="1091" width="8.33203125" bestFit="1" customWidth="1"/>
    <col min="1092" max="1092" width="8" bestFit="1" customWidth="1"/>
    <col min="1093" max="1093" width="9.109375" bestFit="1" customWidth="1"/>
    <col min="1094" max="1094" width="9.33203125" bestFit="1" customWidth="1"/>
    <col min="1095" max="1095" width="8.44140625" bestFit="1" customWidth="1"/>
    <col min="1096" max="1096" width="9.109375" bestFit="1" customWidth="1"/>
    <col min="1097" max="1097" width="9.44140625" bestFit="1" customWidth="1"/>
    <col min="1098" max="1098" width="8.33203125" bestFit="1" customWidth="1"/>
    <col min="1099" max="1099" width="8.109375" bestFit="1" customWidth="1"/>
    <col min="1100" max="1100" width="9.109375" bestFit="1" customWidth="1"/>
    <col min="1101" max="1102" width="8.33203125" bestFit="1" customWidth="1"/>
    <col min="1103" max="1103" width="9.109375" bestFit="1" customWidth="1"/>
    <col min="1104" max="1104" width="8.33203125" bestFit="1" customWidth="1"/>
    <col min="1105" max="1105" width="7.6640625" bestFit="1" customWidth="1"/>
    <col min="1106" max="1106" width="9.109375" bestFit="1" customWidth="1"/>
    <col min="1107" max="1107" width="9.33203125" bestFit="1" customWidth="1"/>
    <col min="1108" max="1108" width="8.44140625" bestFit="1" customWidth="1"/>
    <col min="1109" max="1109" width="9.109375" bestFit="1" customWidth="1"/>
    <col min="1110" max="1110" width="9.44140625" bestFit="1" customWidth="1"/>
    <col min="1111" max="1111" width="8.33203125" bestFit="1" customWidth="1"/>
    <col min="1112" max="1112" width="8.109375" bestFit="1" customWidth="1"/>
    <col min="1113" max="1113" width="9.109375" bestFit="1" customWidth="1"/>
    <col min="1114" max="1115" width="8.33203125" bestFit="1" customWidth="1"/>
    <col min="1116" max="1116" width="9.109375" bestFit="1" customWidth="1"/>
    <col min="1117" max="1117" width="8.33203125" bestFit="1" customWidth="1"/>
    <col min="1118" max="1118" width="7.6640625" bestFit="1" customWidth="1"/>
    <col min="1119" max="1119" width="9.109375" bestFit="1" customWidth="1"/>
    <col min="1120" max="1120" width="9.33203125" bestFit="1" customWidth="1"/>
    <col min="1121" max="1121" width="8.44140625" bestFit="1" customWidth="1"/>
    <col min="1122" max="1122" width="9.109375" bestFit="1" customWidth="1"/>
    <col min="1123" max="1123" width="9.44140625" bestFit="1" customWidth="1"/>
    <col min="1124" max="1124" width="8.33203125" bestFit="1" customWidth="1"/>
    <col min="1125" max="1125" width="8.109375" bestFit="1" customWidth="1"/>
    <col min="1126" max="1126" width="9.109375" bestFit="1" customWidth="1"/>
    <col min="1127" max="1128" width="8.33203125" bestFit="1" customWidth="1"/>
    <col min="1129" max="1129" width="9.109375" bestFit="1" customWidth="1"/>
    <col min="1130" max="1130" width="8.33203125" bestFit="1" customWidth="1"/>
    <col min="1131" max="1131" width="7.6640625" bestFit="1" customWidth="1"/>
    <col min="1132" max="1132" width="9.109375" bestFit="1" customWidth="1"/>
    <col min="1133" max="1133" width="9.33203125" bestFit="1" customWidth="1"/>
    <col min="1134" max="1134" width="8.44140625" bestFit="1" customWidth="1"/>
    <col min="1135" max="1135" width="9.109375" bestFit="1" customWidth="1"/>
    <col min="1136" max="1136" width="9.44140625" bestFit="1" customWidth="1"/>
    <col min="1137" max="1137" width="8.33203125" bestFit="1" customWidth="1"/>
    <col min="1138" max="1138" width="8.109375" bestFit="1" customWidth="1"/>
    <col min="1139" max="1139" width="9.109375" bestFit="1" customWidth="1"/>
    <col min="1140" max="1141" width="8.33203125" bestFit="1" customWidth="1"/>
    <col min="1142" max="1142" width="9.109375" bestFit="1" customWidth="1"/>
    <col min="1143" max="1143" width="9.44140625" bestFit="1" customWidth="1"/>
    <col min="1144" max="1144" width="10.5546875" bestFit="1" customWidth="1"/>
    <col min="1145" max="1145" width="10" bestFit="1" customWidth="1"/>
    <col min="1146" max="1146" width="12.77734375" bestFit="1" customWidth="1"/>
    <col min="1147" max="1147" width="8.109375" bestFit="1" customWidth="1"/>
    <col min="1148" max="1148" width="9.109375" bestFit="1" customWidth="1"/>
    <col min="1149" max="1149" width="10" bestFit="1" customWidth="1"/>
    <col min="1150" max="1150" width="12.77734375" bestFit="1" customWidth="1"/>
    <col min="1151" max="1151" width="8.33203125" bestFit="1" customWidth="1"/>
    <col min="1152" max="1152" width="9.109375" bestFit="1" customWidth="1"/>
    <col min="1153" max="1153" width="10" bestFit="1" customWidth="1"/>
    <col min="1154" max="1154" width="12.77734375" bestFit="1" customWidth="1"/>
    <col min="1155" max="1155" width="7.6640625" bestFit="1" customWidth="1"/>
    <col min="1156" max="1156" width="9.109375" bestFit="1" customWidth="1"/>
    <col min="1157" max="1157" width="11" bestFit="1" customWidth="1"/>
    <col min="1158" max="1158" width="13.88671875" bestFit="1" customWidth="1"/>
    <col min="1159" max="1159" width="8.44140625" bestFit="1" customWidth="1"/>
    <col min="1160" max="1160" width="9.109375" bestFit="1" customWidth="1"/>
    <col min="1161" max="1161" width="9.44140625" bestFit="1" customWidth="1"/>
    <col min="1162" max="1162" width="10" bestFit="1" customWidth="1"/>
    <col min="1163" max="1163" width="12.77734375" bestFit="1" customWidth="1"/>
    <col min="1164" max="1164" width="8.109375" bestFit="1" customWidth="1"/>
    <col min="1165" max="1165" width="9.109375" bestFit="1" customWidth="1"/>
    <col min="1166" max="1166" width="10" bestFit="1" customWidth="1"/>
    <col min="1167" max="1167" width="12.77734375" bestFit="1" customWidth="1"/>
    <col min="1168" max="1168" width="8.33203125" bestFit="1" customWidth="1"/>
    <col min="1169" max="1169" width="9.109375" bestFit="1" customWidth="1"/>
    <col min="1170" max="1170" width="10" bestFit="1" customWidth="1"/>
    <col min="1171" max="1171" width="12.77734375" bestFit="1" customWidth="1"/>
    <col min="1172" max="1172" width="7.6640625" bestFit="1" customWidth="1"/>
    <col min="1173" max="1173" width="9.109375" bestFit="1" customWidth="1"/>
    <col min="1174" max="1174" width="11" bestFit="1" customWidth="1"/>
    <col min="1175" max="1175" width="13.88671875" bestFit="1" customWidth="1"/>
    <col min="1176" max="1176" width="8.44140625" bestFit="1" customWidth="1"/>
    <col min="1177" max="1177" width="9.109375" bestFit="1" customWidth="1"/>
    <col min="1178" max="1178" width="9.44140625" bestFit="1" customWidth="1"/>
    <col min="1179" max="1179" width="10" bestFit="1" customWidth="1"/>
    <col min="1180" max="1180" width="12.77734375" bestFit="1" customWidth="1"/>
    <col min="1181" max="1181" width="8.109375" bestFit="1" customWidth="1"/>
    <col min="1182" max="1182" width="9.109375" bestFit="1" customWidth="1"/>
    <col min="1183" max="1183" width="10" bestFit="1" customWidth="1"/>
    <col min="1184" max="1184" width="12.77734375" bestFit="1" customWidth="1"/>
    <col min="1185" max="1185" width="8.33203125" bestFit="1" customWidth="1"/>
    <col min="1186" max="1186" width="9.109375" bestFit="1" customWidth="1"/>
    <col min="1187" max="1187" width="10" bestFit="1" customWidth="1"/>
    <col min="1188" max="1188" width="12.77734375" bestFit="1" customWidth="1"/>
    <col min="1189" max="1189" width="7.6640625" bestFit="1" customWidth="1"/>
    <col min="1190" max="1190" width="9.109375" bestFit="1" customWidth="1"/>
    <col min="1191" max="1191" width="11" bestFit="1" customWidth="1"/>
    <col min="1192" max="1192" width="13.88671875" bestFit="1" customWidth="1"/>
    <col min="1193" max="1193" width="8.44140625" bestFit="1" customWidth="1"/>
    <col min="1194" max="1194" width="9.109375" bestFit="1" customWidth="1"/>
    <col min="1195" max="1195" width="9.44140625" bestFit="1" customWidth="1"/>
    <col min="1196" max="1196" width="10" bestFit="1" customWidth="1"/>
    <col min="1197" max="1197" width="12.77734375" bestFit="1" customWidth="1"/>
    <col min="1198" max="1198" width="8.109375" bestFit="1" customWidth="1"/>
    <col min="1199" max="1199" width="9.109375" bestFit="1" customWidth="1"/>
    <col min="1200" max="1200" width="10" bestFit="1" customWidth="1"/>
    <col min="1201" max="1201" width="12.77734375" bestFit="1" customWidth="1"/>
    <col min="1202" max="1202" width="8.33203125" bestFit="1" customWidth="1"/>
    <col min="1203" max="1203" width="9.109375" bestFit="1" customWidth="1"/>
    <col min="1204" max="1204" width="10" bestFit="1" customWidth="1"/>
    <col min="1205" max="1205" width="12.77734375" bestFit="1" customWidth="1"/>
    <col min="1206" max="1206" width="7.6640625" bestFit="1" customWidth="1"/>
    <col min="1207" max="1207" width="9.109375" bestFit="1" customWidth="1"/>
    <col min="1208" max="1208" width="11" bestFit="1" customWidth="1"/>
    <col min="1209" max="1209" width="13.88671875" bestFit="1" customWidth="1"/>
    <col min="1210" max="1210" width="8.44140625" bestFit="1" customWidth="1"/>
    <col min="1211" max="1211" width="9.109375" bestFit="1" customWidth="1"/>
    <col min="1212" max="1212" width="9.44140625" bestFit="1" customWidth="1"/>
    <col min="1213" max="1213" width="10" bestFit="1" customWidth="1"/>
    <col min="1214" max="1214" width="12.77734375" bestFit="1" customWidth="1"/>
    <col min="1215" max="1215" width="8.109375" bestFit="1" customWidth="1"/>
    <col min="1216" max="1216" width="9.109375" bestFit="1" customWidth="1"/>
    <col min="1217" max="1217" width="10" bestFit="1" customWidth="1"/>
    <col min="1218" max="1218" width="12.77734375" bestFit="1" customWidth="1"/>
    <col min="1219" max="1219" width="8.33203125" bestFit="1" customWidth="1"/>
    <col min="1220" max="1220" width="9.109375" bestFit="1" customWidth="1"/>
    <col min="1221" max="1221" width="10" bestFit="1" customWidth="1"/>
    <col min="1222" max="1222" width="12.77734375" bestFit="1" customWidth="1"/>
    <col min="1223" max="1223" width="7.6640625" bestFit="1" customWidth="1"/>
    <col min="1224" max="1224" width="9.109375" bestFit="1" customWidth="1"/>
    <col min="1225" max="1225" width="11" bestFit="1" customWidth="1"/>
    <col min="1226" max="1226" width="13.88671875" bestFit="1" customWidth="1"/>
    <col min="1227" max="1227" width="8.44140625" bestFit="1" customWidth="1"/>
    <col min="1228" max="1228" width="9.109375" bestFit="1" customWidth="1"/>
    <col min="1229" max="1229" width="9.44140625" bestFit="1" customWidth="1"/>
    <col min="1230" max="1230" width="10" bestFit="1" customWidth="1"/>
    <col min="1231" max="1231" width="12.77734375" bestFit="1" customWidth="1"/>
    <col min="1232" max="1232" width="8.109375" bestFit="1" customWidth="1"/>
    <col min="1233" max="1233" width="9.109375" bestFit="1" customWidth="1"/>
    <col min="1234" max="1234" width="10" bestFit="1" customWidth="1"/>
    <col min="1235" max="1235" width="12.77734375" bestFit="1" customWidth="1"/>
    <col min="1236" max="1236" width="8.33203125" bestFit="1" customWidth="1"/>
    <col min="1237" max="1237" width="9.109375" bestFit="1" customWidth="1"/>
    <col min="1238" max="1238" width="10" bestFit="1" customWidth="1"/>
    <col min="1239" max="1239" width="12.77734375" bestFit="1" customWidth="1"/>
    <col min="1240" max="1240" width="7.6640625" bestFit="1" customWidth="1"/>
    <col min="1241" max="1241" width="9.109375" bestFit="1" customWidth="1"/>
    <col min="1242" max="1242" width="11" bestFit="1" customWidth="1"/>
    <col min="1243" max="1243" width="13.88671875" bestFit="1" customWidth="1"/>
    <col min="1244" max="1244" width="8.44140625" bestFit="1" customWidth="1"/>
    <col min="1245" max="1245" width="9.109375" bestFit="1" customWidth="1"/>
    <col min="1246" max="1246" width="9.44140625" bestFit="1" customWidth="1"/>
    <col min="1247" max="1247" width="10" bestFit="1" customWidth="1"/>
    <col min="1248" max="1248" width="12.77734375" bestFit="1" customWidth="1"/>
    <col min="1249" max="1249" width="8.109375" bestFit="1" customWidth="1"/>
    <col min="1250" max="1250" width="9.109375" bestFit="1" customWidth="1"/>
    <col min="1251" max="1251" width="10" bestFit="1" customWidth="1"/>
    <col min="1252" max="1252" width="12.77734375" bestFit="1" customWidth="1"/>
    <col min="1253" max="1253" width="8.33203125" bestFit="1" customWidth="1"/>
    <col min="1254" max="1254" width="9.109375" bestFit="1" customWidth="1"/>
    <col min="1255" max="1255" width="10" bestFit="1" customWidth="1"/>
    <col min="1256" max="1256" width="12.77734375" bestFit="1" customWidth="1"/>
    <col min="1257" max="1257" width="7.6640625" bestFit="1" customWidth="1"/>
    <col min="1258" max="1258" width="9.109375" bestFit="1" customWidth="1"/>
    <col min="1259" max="1259" width="11" bestFit="1" customWidth="1"/>
    <col min="1260" max="1260" width="13.88671875" bestFit="1" customWidth="1"/>
    <col min="1261" max="1261" width="8.44140625" bestFit="1" customWidth="1"/>
    <col min="1262" max="1262" width="9.109375" bestFit="1" customWidth="1"/>
    <col min="1263" max="1263" width="9.44140625" bestFit="1" customWidth="1"/>
    <col min="1264" max="1264" width="10" bestFit="1" customWidth="1"/>
    <col min="1265" max="1265" width="12.77734375" bestFit="1" customWidth="1"/>
    <col min="1266" max="1266" width="8.109375" bestFit="1" customWidth="1"/>
    <col min="1267" max="1267" width="9.109375" bestFit="1" customWidth="1"/>
    <col min="1268" max="1268" width="10" bestFit="1" customWidth="1"/>
    <col min="1269" max="1269" width="12.77734375" bestFit="1" customWidth="1"/>
    <col min="1270" max="1270" width="8.33203125" bestFit="1" customWidth="1"/>
    <col min="1271" max="1271" width="9.109375" bestFit="1" customWidth="1"/>
    <col min="1272" max="1272" width="10" bestFit="1" customWidth="1"/>
    <col min="1273" max="1273" width="12.77734375" bestFit="1" customWidth="1"/>
    <col min="1274" max="1274" width="7.6640625" bestFit="1" customWidth="1"/>
    <col min="1275" max="1275" width="9.109375" bestFit="1" customWidth="1"/>
    <col min="1276" max="1276" width="11" bestFit="1" customWidth="1"/>
    <col min="1277" max="1277" width="13.88671875" bestFit="1" customWidth="1"/>
    <col min="1278" max="1278" width="8.44140625" bestFit="1" customWidth="1"/>
    <col min="1279" max="1279" width="9.109375" bestFit="1" customWidth="1"/>
    <col min="1280" max="1280" width="9.44140625" bestFit="1" customWidth="1"/>
    <col min="1281" max="1281" width="10" bestFit="1" customWidth="1"/>
    <col min="1282" max="1282" width="12.77734375" bestFit="1" customWidth="1"/>
    <col min="1283" max="1283" width="8.109375" bestFit="1" customWidth="1"/>
    <col min="1284" max="1284" width="9.109375" bestFit="1" customWidth="1"/>
    <col min="1285" max="1285" width="10" bestFit="1" customWidth="1"/>
    <col min="1286" max="1286" width="12.77734375" bestFit="1" customWidth="1"/>
    <col min="1287" max="1287" width="8.33203125" bestFit="1" customWidth="1"/>
    <col min="1288" max="1288" width="9.109375" bestFit="1" customWidth="1"/>
    <col min="1289" max="1289" width="10" bestFit="1" customWidth="1"/>
    <col min="1290" max="1290" width="12.77734375" bestFit="1" customWidth="1"/>
    <col min="1291" max="1291" width="7.6640625" bestFit="1" customWidth="1"/>
    <col min="1292" max="1292" width="9.109375" bestFit="1" customWidth="1"/>
    <col min="1293" max="1293" width="11" bestFit="1" customWidth="1"/>
    <col min="1294" max="1294" width="13.88671875" bestFit="1" customWidth="1"/>
    <col min="1295" max="1295" width="8.44140625" bestFit="1" customWidth="1"/>
    <col min="1296" max="1296" width="9.109375" bestFit="1" customWidth="1"/>
    <col min="1297" max="1297" width="9.44140625" bestFit="1" customWidth="1"/>
    <col min="1298" max="1298" width="10" bestFit="1" customWidth="1"/>
    <col min="1299" max="1299" width="12.77734375" bestFit="1" customWidth="1"/>
    <col min="1300" max="1300" width="8.109375" bestFit="1" customWidth="1"/>
    <col min="1301" max="1301" width="9.109375" bestFit="1" customWidth="1"/>
    <col min="1302" max="1302" width="10" bestFit="1" customWidth="1"/>
    <col min="1303" max="1303" width="12.77734375" bestFit="1" customWidth="1"/>
    <col min="1304" max="1304" width="8.33203125" bestFit="1" customWidth="1"/>
    <col min="1305" max="1305" width="9.109375" bestFit="1" customWidth="1"/>
    <col min="1306" max="1306" width="10" bestFit="1" customWidth="1"/>
    <col min="1307" max="1307" width="12.77734375" bestFit="1" customWidth="1"/>
    <col min="1308" max="1308" width="7.6640625" bestFit="1" customWidth="1"/>
    <col min="1309" max="1309" width="9.109375" bestFit="1" customWidth="1"/>
    <col min="1310" max="1310" width="11" bestFit="1" customWidth="1"/>
    <col min="1311" max="1311" width="13.88671875" bestFit="1" customWidth="1"/>
    <col min="1312" max="1312" width="8.44140625" bestFit="1" customWidth="1"/>
    <col min="1313" max="1313" width="9.109375" bestFit="1" customWidth="1"/>
    <col min="1314" max="1314" width="9.44140625" bestFit="1" customWidth="1"/>
    <col min="1315" max="1315" width="10" bestFit="1" customWidth="1"/>
    <col min="1316" max="1316" width="12.77734375" bestFit="1" customWidth="1"/>
    <col min="1317" max="1317" width="8.109375" bestFit="1" customWidth="1"/>
    <col min="1318" max="1318" width="9.109375" bestFit="1" customWidth="1"/>
    <col min="1319" max="1319" width="10" bestFit="1" customWidth="1"/>
    <col min="1320" max="1320" width="12.77734375" bestFit="1" customWidth="1"/>
    <col min="1321" max="1321" width="8.33203125" bestFit="1" customWidth="1"/>
    <col min="1322" max="1322" width="9.109375" bestFit="1" customWidth="1"/>
    <col min="1323" max="1323" width="10" bestFit="1" customWidth="1"/>
    <col min="1324" max="1324" width="12.77734375" bestFit="1" customWidth="1"/>
    <col min="1325" max="1325" width="7.6640625" bestFit="1" customWidth="1"/>
    <col min="1326" max="1326" width="9.109375" bestFit="1" customWidth="1"/>
    <col min="1327" max="1327" width="11" bestFit="1" customWidth="1"/>
    <col min="1328" max="1328" width="13.88671875" bestFit="1" customWidth="1"/>
    <col min="1329" max="1329" width="8.44140625" bestFit="1" customWidth="1"/>
    <col min="1330" max="1330" width="9.109375" bestFit="1" customWidth="1"/>
    <col min="1331" max="1331" width="9.44140625" bestFit="1" customWidth="1"/>
    <col min="1332" max="1332" width="10" bestFit="1" customWidth="1"/>
    <col min="1333" max="1333" width="12.77734375" bestFit="1" customWidth="1"/>
    <col min="1334" max="1334" width="8.109375" bestFit="1" customWidth="1"/>
    <col min="1335" max="1335" width="9.109375" bestFit="1" customWidth="1"/>
    <col min="1336" max="1336" width="10" bestFit="1" customWidth="1"/>
    <col min="1337" max="1337" width="12.77734375" bestFit="1" customWidth="1"/>
    <col min="1338" max="1338" width="8.33203125" bestFit="1" customWidth="1"/>
    <col min="1339" max="1339" width="9.109375" bestFit="1" customWidth="1"/>
    <col min="1340" max="1340" width="10" bestFit="1" customWidth="1"/>
    <col min="1341" max="1341" width="12.77734375" bestFit="1" customWidth="1"/>
    <col min="1342" max="1342" width="7.6640625" bestFit="1" customWidth="1"/>
    <col min="1343" max="1343" width="9.109375" bestFit="1" customWidth="1"/>
    <col min="1344" max="1344" width="11" bestFit="1" customWidth="1"/>
    <col min="1345" max="1345" width="13.88671875" bestFit="1" customWidth="1"/>
    <col min="1346" max="1346" width="8.44140625" bestFit="1" customWidth="1"/>
    <col min="1347" max="1347" width="9.109375" bestFit="1" customWidth="1"/>
    <col min="1348" max="1348" width="9.44140625" bestFit="1" customWidth="1"/>
    <col min="1349" max="1349" width="10" bestFit="1" customWidth="1"/>
    <col min="1350" max="1350" width="12.77734375" bestFit="1" customWidth="1"/>
    <col min="1351" max="1351" width="8.109375" bestFit="1" customWidth="1"/>
    <col min="1352" max="1352" width="9.109375" bestFit="1" customWidth="1"/>
    <col min="1353" max="1353" width="10" bestFit="1" customWidth="1"/>
    <col min="1354" max="1354" width="12.77734375" bestFit="1" customWidth="1"/>
    <col min="1355" max="1355" width="8.33203125" bestFit="1" customWidth="1"/>
    <col min="1356" max="1356" width="9.109375" bestFit="1" customWidth="1"/>
    <col min="1357" max="1357" width="10" bestFit="1" customWidth="1"/>
    <col min="1358" max="1358" width="12.77734375" bestFit="1" customWidth="1"/>
    <col min="1359" max="1359" width="7.6640625" bestFit="1" customWidth="1"/>
    <col min="1360" max="1360" width="9.109375" bestFit="1" customWidth="1"/>
    <col min="1361" max="1361" width="11" bestFit="1" customWidth="1"/>
    <col min="1362" max="1362" width="13.88671875" bestFit="1" customWidth="1"/>
    <col min="1363" max="1363" width="8.44140625" bestFit="1" customWidth="1"/>
    <col min="1364" max="1364" width="9.109375" bestFit="1" customWidth="1"/>
    <col min="1365" max="1365" width="9.44140625" bestFit="1" customWidth="1"/>
    <col min="1366" max="1366" width="10" bestFit="1" customWidth="1"/>
    <col min="1367" max="1367" width="12.77734375" bestFit="1" customWidth="1"/>
    <col min="1368" max="1368" width="8.109375" bestFit="1" customWidth="1"/>
    <col min="1369" max="1369" width="9.109375" bestFit="1" customWidth="1"/>
    <col min="1370" max="1370" width="10" bestFit="1" customWidth="1"/>
    <col min="1371" max="1371" width="12.77734375" bestFit="1" customWidth="1"/>
    <col min="1372" max="1372" width="8.33203125" bestFit="1" customWidth="1"/>
    <col min="1373" max="1373" width="9.109375" bestFit="1" customWidth="1"/>
    <col min="1374" max="1374" width="10" bestFit="1" customWidth="1"/>
    <col min="1375" max="1375" width="12.77734375" bestFit="1" customWidth="1"/>
    <col min="1376" max="1376" width="7.6640625" bestFit="1" customWidth="1"/>
    <col min="1377" max="1377" width="9.109375" bestFit="1" customWidth="1"/>
    <col min="1378" max="1378" width="11" bestFit="1" customWidth="1"/>
    <col min="1379" max="1379" width="13.88671875" bestFit="1" customWidth="1"/>
    <col min="1380" max="1380" width="8.44140625" bestFit="1" customWidth="1"/>
    <col min="1381" max="1381" width="9.109375" bestFit="1" customWidth="1"/>
    <col min="1382" max="1382" width="9.44140625" bestFit="1" customWidth="1"/>
    <col min="1383" max="1383" width="10" bestFit="1" customWidth="1"/>
    <col min="1384" max="1384" width="12.77734375" bestFit="1" customWidth="1"/>
    <col min="1385" max="1385" width="8.109375" bestFit="1" customWidth="1"/>
    <col min="1386" max="1386" width="9.109375" bestFit="1" customWidth="1"/>
    <col min="1387" max="1387" width="10" bestFit="1" customWidth="1"/>
    <col min="1388" max="1388" width="12.77734375" bestFit="1" customWidth="1"/>
    <col min="1389" max="1389" width="8.33203125" bestFit="1" customWidth="1"/>
    <col min="1390" max="1390" width="9.109375" bestFit="1" customWidth="1"/>
    <col min="1391" max="1391" width="10" bestFit="1" customWidth="1"/>
    <col min="1392" max="1392" width="12.77734375" bestFit="1" customWidth="1"/>
    <col min="1393" max="1393" width="7.6640625" bestFit="1" customWidth="1"/>
    <col min="1394" max="1394" width="9.109375" bestFit="1" customWidth="1"/>
    <col min="1395" max="1395" width="11" bestFit="1" customWidth="1"/>
    <col min="1396" max="1396" width="13.88671875" bestFit="1" customWidth="1"/>
    <col min="1397" max="1397" width="8.44140625" bestFit="1" customWidth="1"/>
    <col min="1398" max="1398" width="9.109375" bestFit="1" customWidth="1"/>
    <col min="1399" max="1399" width="9.44140625" bestFit="1" customWidth="1"/>
    <col min="1400" max="1400" width="10" bestFit="1" customWidth="1"/>
    <col min="1401" max="1401" width="12.77734375" bestFit="1" customWidth="1"/>
    <col min="1402" max="1402" width="8.109375" bestFit="1" customWidth="1"/>
    <col min="1403" max="1403" width="9.109375" bestFit="1" customWidth="1"/>
    <col min="1404" max="1404" width="10" bestFit="1" customWidth="1"/>
    <col min="1405" max="1405" width="12.77734375" bestFit="1" customWidth="1"/>
    <col min="1406" max="1406" width="8.33203125" bestFit="1" customWidth="1"/>
    <col min="1407" max="1407" width="9.109375" bestFit="1" customWidth="1"/>
    <col min="1408" max="1408" width="10" bestFit="1" customWidth="1"/>
    <col min="1409" max="1409" width="12.77734375" bestFit="1" customWidth="1"/>
    <col min="1410" max="1410" width="7.6640625" bestFit="1" customWidth="1"/>
    <col min="1411" max="1411" width="9.109375" bestFit="1" customWidth="1"/>
    <col min="1412" max="1412" width="11" bestFit="1" customWidth="1"/>
    <col min="1413" max="1413" width="13.88671875" bestFit="1" customWidth="1"/>
    <col min="1414" max="1414" width="8.44140625" bestFit="1" customWidth="1"/>
    <col min="1415" max="1415" width="9.109375" bestFit="1" customWidth="1"/>
    <col min="1416" max="1416" width="9.44140625" bestFit="1" customWidth="1"/>
    <col min="1417" max="1417" width="10" bestFit="1" customWidth="1"/>
    <col min="1418" max="1418" width="12.77734375" bestFit="1" customWidth="1"/>
    <col min="1419" max="1419" width="8.109375" bestFit="1" customWidth="1"/>
    <col min="1420" max="1420" width="9.109375" bestFit="1" customWidth="1"/>
    <col min="1421" max="1421" width="10" bestFit="1" customWidth="1"/>
    <col min="1422" max="1422" width="12.77734375" bestFit="1" customWidth="1"/>
    <col min="1423" max="1423" width="8.33203125" bestFit="1" customWidth="1"/>
    <col min="1424" max="1424" width="9.109375" bestFit="1" customWidth="1"/>
    <col min="1425" max="1425" width="10" bestFit="1" customWidth="1"/>
    <col min="1426" max="1426" width="12.77734375" bestFit="1" customWidth="1"/>
    <col min="1427" max="1427" width="8" bestFit="1" customWidth="1"/>
    <col min="1428" max="1428" width="9.109375" bestFit="1" customWidth="1"/>
    <col min="1429" max="1429" width="11" bestFit="1" customWidth="1"/>
    <col min="1430" max="1430" width="13.88671875" bestFit="1" customWidth="1"/>
    <col min="1431" max="1431" width="8.44140625" bestFit="1" customWidth="1"/>
    <col min="1432" max="1432" width="9.109375" bestFit="1" customWidth="1"/>
    <col min="1433" max="1433" width="9.44140625" bestFit="1" customWidth="1"/>
    <col min="1434" max="1434" width="10" bestFit="1" customWidth="1"/>
    <col min="1435" max="1435" width="12.77734375" bestFit="1" customWidth="1"/>
    <col min="1436" max="1436" width="8.109375" bestFit="1" customWidth="1"/>
    <col min="1437" max="1437" width="9.109375" bestFit="1" customWidth="1"/>
    <col min="1438" max="1438" width="10" bestFit="1" customWidth="1"/>
    <col min="1439" max="1439" width="12.77734375" bestFit="1" customWidth="1"/>
    <col min="1440" max="1440" width="8.33203125" bestFit="1" customWidth="1"/>
    <col min="1441" max="1441" width="9.109375" bestFit="1" customWidth="1"/>
    <col min="1442" max="1442" width="10" bestFit="1" customWidth="1"/>
    <col min="1443" max="1443" width="12.77734375" bestFit="1" customWidth="1"/>
    <col min="1444" max="1444" width="7.6640625" bestFit="1" customWidth="1"/>
    <col min="1445" max="1445" width="9.109375" bestFit="1" customWidth="1"/>
    <col min="1446" max="1446" width="11" bestFit="1" customWidth="1"/>
    <col min="1447" max="1447" width="13.88671875" bestFit="1" customWidth="1"/>
    <col min="1448" max="1448" width="8.44140625" bestFit="1" customWidth="1"/>
    <col min="1449" max="1449" width="9.109375" bestFit="1" customWidth="1"/>
    <col min="1450" max="1450" width="9.44140625" bestFit="1" customWidth="1"/>
    <col min="1451" max="1451" width="10" bestFit="1" customWidth="1"/>
    <col min="1452" max="1452" width="12.77734375" bestFit="1" customWidth="1"/>
    <col min="1453" max="1453" width="8.109375" bestFit="1" customWidth="1"/>
    <col min="1454" max="1454" width="9.109375" bestFit="1" customWidth="1"/>
    <col min="1455" max="1455" width="10" bestFit="1" customWidth="1"/>
    <col min="1456" max="1456" width="12.77734375" bestFit="1" customWidth="1"/>
    <col min="1457" max="1457" width="8.33203125" bestFit="1" customWidth="1"/>
    <col min="1458" max="1458" width="9.109375" bestFit="1" customWidth="1"/>
    <col min="1459" max="1459" width="10" bestFit="1" customWidth="1"/>
    <col min="1460" max="1460" width="12.77734375" bestFit="1" customWidth="1"/>
    <col min="1461" max="1461" width="7.6640625" bestFit="1" customWidth="1"/>
    <col min="1462" max="1462" width="9.109375" bestFit="1" customWidth="1"/>
    <col min="1463" max="1463" width="11" bestFit="1" customWidth="1"/>
    <col min="1464" max="1464" width="13.88671875" bestFit="1" customWidth="1"/>
    <col min="1465" max="1465" width="8.44140625" bestFit="1" customWidth="1"/>
    <col min="1466" max="1466" width="9.109375" bestFit="1" customWidth="1"/>
    <col min="1467" max="1467" width="9.44140625" bestFit="1" customWidth="1"/>
    <col min="1468" max="1468" width="10" bestFit="1" customWidth="1"/>
    <col min="1469" max="1469" width="12.77734375" bestFit="1" customWidth="1"/>
    <col min="1470" max="1470" width="8.109375" bestFit="1" customWidth="1"/>
    <col min="1471" max="1471" width="9.109375" bestFit="1" customWidth="1"/>
    <col min="1472" max="1472" width="10" bestFit="1" customWidth="1"/>
    <col min="1473" max="1473" width="12.77734375" bestFit="1" customWidth="1"/>
    <col min="1474" max="1474" width="8.33203125" bestFit="1" customWidth="1"/>
    <col min="1475" max="1475" width="9.109375" bestFit="1" customWidth="1"/>
    <col min="1476" max="1476" width="10" bestFit="1" customWidth="1"/>
    <col min="1477" max="1477" width="12.77734375" bestFit="1" customWidth="1"/>
    <col min="1478" max="1478" width="7.6640625" bestFit="1" customWidth="1"/>
    <col min="1479" max="1479" width="9.109375" bestFit="1" customWidth="1"/>
    <col min="1480" max="1480" width="11" bestFit="1" customWidth="1"/>
    <col min="1481" max="1481" width="13.88671875" bestFit="1" customWidth="1"/>
    <col min="1482" max="1482" width="8.44140625" bestFit="1" customWidth="1"/>
    <col min="1483" max="1483" width="9.109375" bestFit="1" customWidth="1"/>
    <col min="1484" max="1484" width="9.44140625" bestFit="1" customWidth="1"/>
    <col min="1485" max="1485" width="10" bestFit="1" customWidth="1"/>
    <col min="1486" max="1486" width="12.77734375" bestFit="1" customWidth="1"/>
    <col min="1487" max="1487" width="8.109375" bestFit="1" customWidth="1"/>
    <col min="1488" max="1488" width="9.109375" bestFit="1" customWidth="1"/>
    <col min="1489" max="1489" width="10" bestFit="1" customWidth="1"/>
    <col min="1490" max="1490" width="12.77734375" bestFit="1" customWidth="1"/>
    <col min="1491" max="1491" width="8.33203125" bestFit="1" customWidth="1"/>
    <col min="1492" max="1492" width="9.109375" bestFit="1" customWidth="1"/>
    <col min="1493" max="1493" width="9.44140625" bestFit="1" customWidth="1"/>
    <col min="1494" max="1494" width="10.5546875" bestFit="1" customWidth="1"/>
  </cols>
  <sheetData>
    <row r="2" spans="1:10" x14ac:dyDescent="0.3">
      <c r="A2" s="3" t="s">
        <v>375</v>
      </c>
      <c r="B2" t="s">
        <v>377</v>
      </c>
      <c r="E2" s="3" t="s">
        <v>411</v>
      </c>
      <c r="F2" s="3" t="s">
        <v>409</v>
      </c>
    </row>
    <row r="3" spans="1:10" x14ac:dyDescent="0.3">
      <c r="A3" s="4" t="s">
        <v>404</v>
      </c>
      <c r="B3">
        <v>50</v>
      </c>
      <c r="E3" s="3" t="s">
        <v>375</v>
      </c>
      <c r="F3" t="s">
        <v>326</v>
      </c>
      <c r="G3" t="s">
        <v>330</v>
      </c>
      <c r="H3" t="s">
        <v>6</v>
      </c>
      <c r="I3" t="s">
        <v>372</v>
      </c>
      <c r="J3" t="s">
        <v>376</v>
      </c>
    </row>
    <row r="4" spans="1:10" x14ac:dyDescent="0.3">
      <c r="A4" s="6" t="s">
        <v>406</v>
      </c>
      <c r="B4">
        <v>50</v>
      </c>
      <c r="E4" s="4" t="s">
        <v>404</v>
      </c>
      <c r="F4">
        <v>3.39</v>
      </c>
      <c r="G4">
        <v>-15.94</v>
      </c>
      <c r="H4">
        <v>2.68</v>
      </c>
      <c r="I4">
        <v>4.84</v>
      </c>
      <c r="J4">
        <v>4.84</v>
      </c>
    </row>
    <row r="5" spans="1:10" x14ac:dyDescent="0.3">
      <c r="A5" s="6" t="s">
        <v>405</v>
      </c>
      <c r="B5">
        <v>40</v>
      </c>
      <c r="E5" s="6" t="s">
        <v>405</v>
      </c>
      <c r="F5">
        <v>3.39</v>
      </c>
      <c r="G5">
        <v>-15.94</v>
      </c>
      <c r="H5">
        <v>2.68</v>
      </c>
      <c r="I5">
        <v>4.84</v>
      </c>
      <c r="J5">
        <v>4.84</v>
      </c>
    </row>
    <row r="6" spans="1:10" x14ac:dyDescent="0.3">
      <c r="A6" s="4" t="s">
        <v>403</v>
      </c>
      <c r="B6">
        <v>50</v>
      </c>
      <c r="E6" s="6" t="s">
        <v>406</v>
      </c>
      <c r="F6">
        <v>3.26</v>
      </c>
      <c r="G6">
        <v>-16.100000000000001</v>
      </c>
      <c r="H6">
        <v>2.1</v>
      </c>
      <c r="I6">
        <v>3.24</v>
      </c>
      <c r="J6">
        <v>3.26</v>
      </c>
    </row>
    <row r="7" spans="1:10" x14ac:dyDescent="0.3">
      <c r="A7" s="6" t="s">
        <v>408</v>
      </c>
      <c r="B7">
        <v>40</v>
      </c>
      <c r="E7" s="4" t="s">
        <v>376</v>
      </c>
      <c r="F7">
        <v>3.39</v>
      </c>
      <c r="G7">
        <v>-15.94</v>
      </c>
      <c r="H7">
        <v>2.68</v>
      </c>
      <c r="I7">
        <v>4.84</v>
      </c>
      <c r="J7">
        <v>4.84</v>
      </c>
    </row>
    <row r="8" spans="1:10" x14ac:dyDescent="0.3">
      <c r="A8" s="6" t="s">
        <v>407</v>
      </c>
      <c r="B8">
        <v>40</v>
      </c>
    </row>
    <row r="9" spans="1:10" x14ac:dyDescent="0.3">
      <c r="A9" s="6" t="s">
        <v>406</v>
      </c>
      <c r="B9">
        <v>40</v>
      </c>
    </row>
    <row r="10" spans="1:10" x14ac:dyDescent="0.3">
      <c r="A10" s="6" t="s">
        <v>405</v>
      </c>
      <c r="B10">
        <v>50</v>
      </c>
    </row>
    <row r="11" spans="1:10" x14ac:dyDescent="0.3">
      <c r="A11" s="4" t="s">
        <v>402</v>
      </c>
      <c r="B11">
        <v>70</v>
      </c>
      <c r="E11" s="3" t="s">
        <v>375</v>
      </c>
      <c r="F11" t="s">
        <v>377</v>
      </c>
    </row>
    <row r="12" spans="1:10" x14ac:dyDescent="0.3">
      <c r="A12" s="6" t="s">
        <v>408</v>
      </c>
      <c r="B12">
        <v>65</v>
      </c>
      <c r="E12" s="5">
        <v>46113</v>
      </c>
      <c r="F12">
        <v>50</v>
      </c>
    </row>
    <row r="13" spans="1:10" x14ac:dyDescent="0.3">
      <c r="A13" s="6" t="s">
        <v>407</v>
      </c>
      <c r="B13">
        <v>55</v>
      </c>
      <c r="E13" s="5">
        <v>46023</v>
      </c>
      <c r="F13">
        <v>40</v>
      </c>
      <c r="I13" t="s">
        <v>412</v>
      </c>
      <c r="J13" s="7">
        <f>INDEX(economy_score[economic_score],MATCH(MAX(economy_score[quarter_start]),economy_score[quarter_start],0)) /100</f>
        <v>0.5</v>
      </c>
    </row>
    <row r="14" spans="1:10" x14ac:dyDescent="0.3">
      <c r="A14" s="6" t="s">
        <v>406</v>
      </c>
      <c r="B14">
        <v>70</v>
      </c>
      <c r="E14" s="5">
        <v>45931</v>
      </c>
      <c r="F14">
        <v>40</v>
      </c>
      <c r="I14" t="s">
        <v>413</v>
      </c>
      <c r="J14" s="7">
        <f>INDEX(economy_score[economic_score],MATCH(LARGE(economy_score[quarter_start],  2),economy_score[quarter_start],0)) /100</f>
        <v>0.4</v>
      </c>
    </row>
    <row r="15" spans="1:10" x14ac:dyDescent="0.3">
      <c r="A15" s="6" t="s">
        <v>405</v>
      </c>
      <c r="B15">
        <v>70</v>
      </c>
      <c r="E15" s="5">
        <v>45839</v>
      </c>
      <c r="F15">
        <v>40</v>
      </c>
      <c r="I15" t="s">
        <v>414</v>
      </c>
      <c r="J15" s="7">
        <f>J13-J14</f>
        <v>9.9999999999999978E-2</v>
      </c>
    </row>
    <row r="16" spans="1:10" x14ac:dyDescent="0.3">
      <c r="A16" s="4" t="s">
        <v>401</v>
      </c>
      <c r="B16">
        <v>70</v>
      </c>
      <c r="E16" s="5">
        <v>45748</v>
      </c>
      <c r="F16">
        <v>40</v>
      </c>
    </row>
    <row r="17" spans="1:6" x14ac:dyDescent="0.3">
      <c r="A17" s="6" t="s">
        <v>408</v>
      </c>
      <c r="B17">
        <v>60</v>
      </c>
      <c r="E17" s="5">
        <v>45658</v>
      </c>
      <c r="F17">
        <v>50</v>
      </c>
    </row>
    <row r="18" spans="1:6" x14ac:dyDescent="0.3">
      <c r="A18" s="6" t="s">
        <v>407</v>
      </c>
      <c r="B18">
        <v>60</v>
      </c>
      <c r="E18" s="5">
        <v>45566</v>
      </c>
      <c r="F18">
        <v>65</v>
      </c>
    </row>
    <row r="19" spans="1:6" x14ac:dyDescent="0.3">
      <c r="A19" s="6" t="s">
        <v>406</v>
      </c>
      <c r="B19">
        <v>70</v>
      </c>
      <c r="E19" s="5">
        <v>45474</v>
      </c>
      <c r="F19">
        <v>55</v>
      </c>
    </row>
    <row r="20" spans="1:6" x14ac:dyDescent="0.3">
      <c r="A20" s="6" t="s">
        <v>405</v>
      </c>
      <c r="B20">
        <v>70</v>
      </c>
      <c r="E20" s="5">
        <v>45383</v>
      </c>
      <c r="F20">
        <v>70</v>
      </c>
    </row>
    <row r="21" spans="1:6" x14ac:dyDescent="0.3">
      <c r="A21" s="4" t="s">
        <v>400</v>
      </c>
      <c r="B21">
        <v>65</v>
      </c>
      <c r="E21" s="5">
        <v>45292</v>
      </c>
      <c r="F21">
        <v>70</v>
      </c>
    </row>
    <row r="22" spans="1:6" x14ac:dyDescent="0.3">
      <c r="A22" s="6" t="s">
        <v>408</v>
      </c>
      <c r="B22">
        <v>55</v>
      </c>
      <c r="E22" s="5">
        <v>45200</v>
      </c>
      <c r="F22">
        <v>60</v>
      </c>
    </row>
    <row r="23" spans="1:6" x14ac:dyDescent="0.3">
      <c r="A23" s="6" t="s">
        <v>407</v>
      </c>
      <c r="B23">
        <v>55</v>
      </c>
      <c r="E23" s="5">
        <v>45108</v>
      </c>
      <c r="F23">
        <v>60</v>
      </c>
    </row>
    <row r="24" spans="1:6" x14ac:dyDescent="0.3">
      <c r="A24" s="6" t="s">
        <v>406</v>
      </c>
      <c r="B24">
        <v>65</v>
      </c>
      <c r="E24" s="5">
        <v>45017</v>
      </c>
      <c r="F24">
        <v>70</v>
      </c>
    </row>
    <row r="25" spans="1:6" x14ac:dyDescent="0.3">
      <c r="A25" s="6" t="s">
        <v>405</v>
      </c>
      <c r="B25">
        <v>65</v>
      </c>
      <c r="E25" s="5">
        <v>44927</v>
      </c>
      <c r="F25">
        <v>70</v>
      </c>
    </row>
    <row r="26" spans="1:6" x14ac:dyDescent="0.3">
      <c r="A26" s="4" t="s">
        <v>399</v>
      </c>
      <c r="B26">
        <v>80</v>
      </c>
      <c r="E26" s="5">
        <v>44835</v>
      </c>
      <c r="F26">
        <v>55</v>
      </c>
    </row>
    <row r="27" spans="1:6" x14ac:dyDescent="0.3">
      <c r="A27" s="6" t="s">
        <v>408</v>
      </c>
      <c r="B27">
        <v>60</v>
      </c>
      <c r="E27" s="5">
        <v>44743</v>
      </c>
      <c r="F27">
        <v>55</v>
      </c>
    </row>
    <row r="28" spans="1:6" x14ac:dyDescent="0.3">
      <c r="A28" s="6" t="s">
        <v>407</v>
      </c>
      <c r="B28">
        <v>60</v>
      </c>
      <c r="E28" s="5">
        <v>44652</v>
      </c>
      <c r="F28">
        <v>65</v>
      </c>
    </row>
    <row r="29" spans="1:6" x14ac:dyDescent="0.3">
      <c r="A29" s="6" t="s">
        <v>406</v>
      </c>
      <c r="B29">
        <v>80</v>
      </c>
      <c r="E29" s="5">
        <v>44562</v>
      </c>
      <c r="F29">
        <v>65</v>
      </c>
    </row>
    <row r="30" spans="1:6" x14ac:dyDescent="0.3">
      <c r="A30" s="6" t="s">
        <v>405</v>
      </c>
      <c r="B30">
        <v>35</v>
      </c>
      <c r="E30" s="5">
        <v>44470</v>
      </c>
      <c r="F30">
        <v>60</v>
      </c>
    </row>
    <row r="31" spans="1:6" x14ac:dyDescent="0.3">
      <c r="A31" s="4" t="s">
        <v>398</v>
      </c>
      <c r="B31">
        <v>65</v>
      </c>
      <c r="E31" s="5">
        <v>44378</v>
      </c>
      <c r="F31">
        <v>60</v>
      </c>
    </row>
    <row r="32" spans="1:6" x14ac:dyDescent="0.3">
      <c r="A32" s="6" t="s">
        <v>408</v>
      </c>
      <c r="B32">
        <v>20</v>
      </c>
      <c r="E32" s="5">
        <v>44287</v>
      </c>
      <c r="F32">
        <v>80</v>
      </c>
    </row>
    <row r="33" spans="1:6" x14ac:dyDescent="0.3">
      <c r="A33" s="6" t="s">
        <v>407</v>
      </c>
      <c r="B33">
        <v>20</v>
      </c>
      <c r="E33" s="5">
        <v>44197</v>
      </c>
      <c r="F33">
        <v>35</v>
      </c>
    </row>
    <row r="34" spans="1:6" x14ac:dyDescent="0.3">
      <c r="A34" s="6" t="s">
        <v>406</v>
      </c>
      <c r="B34">
        <v>10</v>
      </c>
      <c r="E34" s="5">
        <v>44105</v>
      </c>
      <c r="F34">
        <v>20</v>
      </c>
    </row>
    <row r="35" spans="1:6" x14ac:dyDescent="0.3">
      <c r="A35" s="6" t="s">
        <v>405</v>
      </c>
      <c r="B35">
        <v>65</v>
      </c>
      <c r="E35" s="5">
        <v>44013</v>
      </c>
      <c r="F35">
        <v>20</v>
      </c>
    </row>
    <row r="36" spans="1:6" x14ac:dyDescent="0.3">
      <c r="A36" s="4" t="s">
        <v>397</v>
      </c>
      <c r="B36">
        <v>80</v>
      </c>
      <c r="E36" s="5">
        <v>43922</v>
      </c>
      <c r="F36">
        <v>10</v>
      </c>
    </row>
    <row r="37" spans="1:6" x14ac:dyDescent="0.3">
      <c r="A37" s="6" t="s">
        <v>408</v>
      </c>
      <c r="B37">
        <v>50</v>
      </c>
      <c r="E37" s="5">
        <v>43831</v>
      </c>
      <c r="F37">
        <v>65</v>
      </c>
    </row>
    <row r="38" spans="1:6" x14ac:dyDescent="0.3">
      <c r="A38" s="6" t="s">
        <v>407</v>
      </c>
      <c r="B38">
        <v>55</v>
      </c>
      <c r="E38" s="5">
        <v>43739</v>
      </c>
      <c r="F38">
        <v>50</v>
      </c>
    </row>
    <row r="39" spans="1:6" x14ac:dyDescent="0.3">
      <c r="A39" s="6" t="s">
        <v>406</v>
      </c>
      <c r="B39">
        <v>80</v>
      </c>
      <c r="E39" s="5">
        <v>43647</v>
      </c>
      <c r="F39">
        <v>55</v>
      </c>
    </row>
    <row r="40" spans="1:6" x14ac:dyDescent="0.3">
      <c r="A40" s="6" t="s">
        <v>405</v>
      </c>
      <c r="B40">
        <v>65</v>
      </c>
      <c r="E40" s="5">
        <v>43556</v>
      </c>
      <c r="F40">
        <v>80</v>
      </c>
    </row>
    <row r="41" spans="1:6" x14ac:dyDescent="0.3">
      <c r="A41" s="4" t="s">
        <v>396</v>
      </c>
      <c r="B41">
        <v>80</v>
      </c>
      <c r="E41" s="5">
        <v>43466</v>
      </c>
      <c r="F41">
        <v>65</v>
      </c>
    </row>
    <row r="42" spans="1:6" x14ac:dyDescent="0.3">
      <c r="A42" s="6" t="s">
        <v>408</v>
      </c>
      <c r="B42">
        <v>65</v>
      </c>
      <c r="E42" s="5">
        <v>43374</v>
      </c>
      <c r="F42">
        <v>65</v>
      </c>
    </row>
    <row r="43" spans="1:6" x14ac:dyDescent="0.3">
      <c r="A43" s="6" t="s">
        <v>407</v>
      </c>
      <c r="B43">
        <v>80</v>
      </c>
      <c r="E43" s="5">
        <v>43282</v>
      </c>
      <c r="F43">
        <v>80</v>
      </c>
    </row>
    <row r="44" spans="1:6" x14ac:dyDescent="0.3">
      <c r="A44" s="6" t="s">
        <v>406</v>
      </c>
      <c r="B44">
        <v>80</v>
      </c>
      <c r="E44" s="5">
        <v>43191</v>
      </c>
      <c r="F44">
        <v>80</v>
      </c>
    </row>
    <row r="45" spans="1:6" x14ac:dyDescent="0.3">
      <c r="A45" s="6" t="s">
        <v>405</v>
      </c>
      <c r="B45">
        <v>80</v>
      </c>
      <c r="E45" s="5">
        <v>43101</v>
      </c>
      <c r="F45">
        <v>80</v>
      </c>
    </row>
    <row r="46" spans="1:6" x14ac:dyDescent="0.3">
      <c r="A46" s="4" t="s">
        <v>395</v>
      </c>
      <c r="B46">
        <v>80</v>
      </c>
      <c r="E46" s="5">
        <v>43009</v>
      </c>
      <c r="F46">
        <v>80</v>
      </c>
    </row>
    <row r="47" spans="1:6" x14ac:dyDescent="0.3">
      <c r="A47" s="6" t="s">
        <v>408</v>
      </c>
      <c r="B47">
        <v>80</v>
      </c>
      <c r="E47" s="5">
        <v>42917</v>
      </c>
      <c r="F47">
        <v>80</v>
      </c>
    </row>
    <row r="48" spans="1:6" x14ac:dyDescent="0.3">
      <c r="A48" s="6" t="s">
        <v>407</v>
      </c>
      <c r="B48">
        <v>80</v>
      </c>
      <c r="E48" s="5">
        <v>42826</v>
      </c>
      <c r="F48">
        <v>80</v>
      </c>
    </row>
    <row r="49" spans="1:6" x14ac:dyDescent="0.3">
      <c r="A49" s="6" t="s">
        <v>406</v>
      </c>
      <c r="B49">
        <v>80</v>
      </c>
      <c r="E49" s="5">
        <v>42736</v>
      </c>
      <c r="F49">
        <v>80</v>
      </c>
    </row>
    <row r="50" spans="1:6" x14ac:dyDescent="0.3">
      <c r="A50" s="6" t="s">
        <v>405</v>
      </c>
      <c r="B50">
        <v>80</v>
      </c>
      <c r="E50" s="5">
        <v>42644</v>
      </c>
      <c r="F50">
        <v>80</v>
      </c>
    </row>
    <row r="51" spans="1:6" x14ac:dyDescent="0.3">
      <c r="A51" s="4" t="s">
        <v>394</v>
      </c>
      <c r="B51">
        <v>80</v>
      </c>
      <c r="E51" s="5">
        <v>42552</v>
      </c>
      <c r="F51">
        <v>55</v>
      </c>
    </row>
    <row r="52" spans="1:6" x14ac:dyDescent="0.3">
      <c r="A52" s="6" t="s">
        <v>408</v>
      </c>
      <c r="B52">
        <v>80</v>
      </c>
      <c r="E52" s="5">
        <v>42461</v>
      </c>
      <c r="F52">
        <v>55</v>
      </c>
    </row>
    <row r="53" spans="1:6" x14ac:dyDescent="0.3">
      <c r="A53" s="6" t="s">
        <v>407</v>
      </c>
      <c r="B53">
        <v>55</v>
      </c>
      <c r="E53" s="5">
        <v>42370</v>
      </c>
      <c r="F53">
        <v>55</v>
      </c>
    </row>
    <row r="54" spans="1:6" x14ac:dyDescent="0.3">
      <c r="A54" s="6" t="s">
        <v>406</v>
      </c>
      <c r="B54">
        <v>55</v>
      </c>
      <c r="E54" s="5">
        <v>42278</v>
      </c>
      <c r="F54">
        <v>70</v>
      </c>
    </row>
    <row r="55" spans="1:6" x14ac:dyDescent="0.3">
      <c r="A55" s="6" t="s">
        <v>405</v>
      </c>
      <c r="B55">
        <v>55</v>
      </c>
      <c r="E55" s="5">
        <v>42186</v>
      </c>
      <c r="F55">
        <v>80</v>
      </c>
    </row>
    <row r="56" spans="1:6" x14ac:dyDescent="0.3">
      <c r="A56" s="4" t="s">
        <v>393</v>
      </c>
      <c r="B56">
        <v>80</v>
      </c>
      <c r="E56" s="5">
        <v>42095</v>
      </c>
      <c r="F56">
        <v>70</v>
      </c>
    </row>
    <row r="57" spans="1:6" x14ac:dyDescent="0.3">
      <c r="A57" s="6" t="s">
        <v>408</v>
      </c>
      <c r="B57">
        <v>70</v>
      </c>
      <c r="E57" s="5">
        <v>42005</v>
      </c>
      <c r="F57">
        <v>80</v>
      </c>
    </row>
    <row r="58" spans="1:6" x14ac:dyDescent="0.3">
      <c r="A58" s="6" t="s">
        <v>407</v>
      </c>
      <c r="B58">
        <v>80</v>
      </c>
      <c r="E58" s="5">
        <v>41913</v>
      </c>
      <c r="F58">
        <v>80</v>
      </c>
    </row>
    <row r="59" spans="1:6" x14ac:dyDescent="0.3">
      <c r="A59" s="6" t="s">
        <v>406</v>
      </c>
      <c r="B59">
        <v>70</v>
      </c>
      <c r="E59" s="5">
        <v>41821</v>
      </c>
      <c r="F59">
        <v>80</v>
      </c>
    </row>
    <row r="60" spans="1:6" x14ac:dyDescent="0.3">
      <c r="A60" s="6" t="s">
        <v>405</v>
      </c>
      <c r="B60">
        <v>80</v>
      </c>
      <c r="E60" s="5">
        <v>41730</v>
      </c>
      <c r="F60">
        <v>75</v>
      </c>
    </row>
    <row r="61" spans="1:6" x14ac:dyDescent="0.3">
      <c r="A61" s="4" t="s">
        <v>392</v>
      </c>
      <c r="B61">
        <v>80</v>
      </c>
      <c r="E61" s="5">
        <v>41640</v>
      </c>
      <c r="F61">
        <v>75</v>
      </c>
    </row>
    <row r="62" spans="1:6" x14ac:dyDescent="0.3">
      <c r="A62" s="6" t="s">
        <v>408</v>
      </c>
      <c r="B62">
        <v>80</v>
      </c>
      <c r="E62" s="5">
        <v>41548</v>
      </c>
      <c r="F62">
        <v>50</v>
      </c>
    </row>
    <row r="63" spans="1:6" x14ac:dyDescent="0.3">
      <c r="A63" s="6" t="s">
        <v>407</v>
      </c>
      <c r="B63">
        <v>80</v>
      </c>
      <c r="E63" s="5">
        <v>41456</v>
      </c>
      <c r="F63">
        <v>65</v>
      </c>
    </row>
    <row r="64" spans="1:6" x14ac:dyDescent="0.3">
      <c r="A64" s="6" t="s">
        <v>406</v>
      </c>
      <c r="B64">
        <v>75</v>
      </c>
      <c r="E64" s="5">
        <v>41365</v>
      </c>
      <c r="F64">
        <v>65</v>
      </c>
    </row>
    <row r="65" spans="1:6" x14ac:dyDescent="0.3">
      <c r="A65" s="6" t="s">
        <v>405</v>
      </c>
      <c r="B65">
        <v>75</v>
      </c>
      <c r="E65" s="5">
        <v>41275</v>
      </c>
      <c r="F65">
        <v>70</v>
      </c>
    </row>
    <row r="66" spans="1:6" x14ac:dyDescent="0.3">
      <c r="A66" s="4" t="s">
        <v>391</v>
      </c>
      <c r="B66">
        <v>70</v>
      </c>
      <c r="E66" s="5">
        <v>41183</v>
      </c>
      <c r="F66">
        <v>70</v>
      </c>
    </row>
    <row r="67" spans="1:6" x14ac:dyDescent="0.3">
      <c r="A67" s="6" t="s">
        <v>408</v>
      </c>
      <c r="B67">
        <v>50</v>
      </c>
      <c r="E67" s="5">
        <v>41091</v>
      </c>
      <c r="F67">
        <v>70</v>
      </c>
    </row>
    <row r="68" spans="1:6" x14ac:dyDescent="0.3">
      <c r="A68" s="6" t="s">
        <v>407</v>
      </c>
      <c r="B68">
        <v>65</v>
      </c>
      <c r="E68" s="5">
        <v>41000</v>
      </c>
      <c r="F68">
        <v>70</v>
      </c>
    </row>
    <row r="69" spans="1:6" x14ac:dyDescent="0.3">
      <c r="A69" s="6" t="s">
        <v>406</v>
      </c>
      <c r="B69">
        <v>65</v>
      </c>
      <c r="E69" s="5">
        <v>40909</v>
      </c>
      <c r="F69">
        <v>75</v>
      </c>
    </row>
    <row r="70" spans="1:6" x14ac:dyDescent="0.3">
      <c r="A70" s="6" t="s">
        <v>405</v>
      </c>
      <c r="B70">
        <v>70</v>
      </c>
      <c r="E70" s="5">
        <v>40817</v>
      </c>
      <c r="F70">
        <v>60</v>
      </c>
    </row>
    <row r="71" spans="1:6" x14ac:dyDescent="0.3">
      <c r="A71" s="4" t="s">
        <v>390</v>
      </c>
      <c r="B71">
        <v>75</v>
      </c>
      <c r="E71" s="5">
        <v>40725</v>
      </c>
      <c r="F71">
        <v>60</v>
      </c>
    </row>
    <row r="72" spans="1:6" x14ac:dyDescent="0.3">
      <c r="A72" s="6" t="s">
        <v>408</v>
      </c>
      <c r="B72">
        <v>70</v>
      </c>
      <c r="E72" s="5">
        <v>40634</v>
      </c>
      <c r="F72">
        <v>60</v>
      </c>
    </row>
    <row r="73" spans="1:6" x14ac:dyDescent="0.3">
      <c r="A73" s="6" t="s">
        <v>407</v>
      </c>
      <c r="B73">
        <v>70</v>
      </c>
      <c r="E73" s="5">
        <v>40544</v>
      </c>
      <c r="F73">
        <v>65</v>
      </c>
    </row>
    <row r="74" spans="1:6" x14ac:dyDescent="0.3">
      <c r="A74" s="6" t="s">
        <v>406</v>
      </c>
      <c r="B74">
        <v>70</v>
      </c>
      <c r="E74" s="5">
        <v>40452</v>
      </c>
      <c r="F74">
        <v>80</v>
      </c>
    </row>
    <row r="75" spans="1:6" x14ac:dyDescent="0.3">
      <c r="A75" s="6" t="s">
        <v>405</v>
      </c>
      <c r="B75">
        <v>75</v>
      </c>
      <c r="E75" s="5">
        <v>40360</v>
      </c>
      <c r="F75">
        <v>50</v>
      </c>
    </row>
    <row r="76" spans="1:6" x14ac:dyDescent="0.3">
      <c r="A76" s="4" t="s">
        <v>389</v>
      </c>
      <c r="B76">
        <v>65</v>
      </c>
      <c r="E76" s="5">
        <v>40269</v>
      </c>
      <c r="F76">
        <v>55</v>
      </c>
    </row>
    <row r="77" spans="1:6" x14ac:dyDescent="0.3">
      <c r="A77" s="6" t="s">
        <v>408</v>
      </c>
      <c r="B77">
        <v>60</v>
      </c>
      <c r="E77" s="5">
        <v>40179</v>
      </c>
      <c r="F77">
        <v>50</v>
      </c>
    </row>
    <row r="78" spans="1:6" x14ac:dyDescent="0.3">
      <c r="A78" s="6" t="s">
        <v>407</v>
      </c>
      <c r="B78">
        <v>60</v>
      </c>
      <c r="E78" s="5">
        <v>40087</v>
      </c>
      <c r="F78">
        <v>40</v>
      </c>
    </row>
    <row r="79" spans="1:6" x14ac:dyDescent="0.3">
      <c r="A79" s="6" t="s">
        <v>406</v>
      </c>
      <c r="B79">
        <v>60</v>
      </c>
      <c r="E79" s="5">
        <v>39995</v>
      </c>
      <c r="F79">
        <v>15</v>
      </c>
    </row>
    <row r="80" spans="1:6" x14ac:dyDescent="0.3">
      <c r="A80" s="6" t="s">
        <v>405</v>
      </c>
      <c r="B80">
        <v>65</v>
      </c>
      <c r="E80" s="5">
        <v>39904</v>
      </c>
      <c r="F80">
        <v>15</v>
      </c>
    </row>
    <row r="81" spans="1:6" x14ac:dyDescent="0.3">
      <c r="A81" s="4" t="s">
        <v>388</v>
      </c>
      <c r="B81">
        <v>80</v>
      </c>
      <c r="E81" s="5">
        <v>39814</v>
      </c>
      <c r="F81">
        <v>0</v>
      </c>
    </row>
    <row r="82" spans="1:6" x14ac:dyDescent="0.3">
      <c r="A82" s="6" t="s">
        <v>408</v>
      </c>
      <c r="B82">
        <v>80</v>
      </c>
      <c r="E82" s="5">
        <v>39722</v>
      </c>
      <c r="F82">
        <v>0</v>
      </c>
    </row>
    <row r="83" spans="1:6" x14ac:dyDescent="0.3">
      <c r="A83" s="6" t="s">
        <v>407</v>
      </c>
      <c r="B83">
        <v>50</v>
      </c>
      <c r="E83" s="5">
        <v>39630</v>
      </c>
      <c r="F83">
        <v>35</v>
      </c>
    </row>
    <row r="84" spans="1:6" x14ac:dyDescent="0.3">
      <c r="A84" s="6" t="s">
        <v>406</v>
      </c>
      <c r="B84">
        <v>55</v>
      </c>
      <c r="E84" s="5">
        <v>39539</v>
      </c>
      <c r="F84">
        <v>35</v>
      </c>
    </row>
    <row r="85" spans="1:6" x14ac:dyDescent="0.3">
      <c r="A85" s="6" t="s">
        <v>405</v>
      </c>
      <c r="B85">
        <v>50</v>
      </c>
      <c r="E85" s="5">
        <v>39448</v>
      </c>
      <c r="F85">
        <v>50</v>
      </c>
    </row>
    <row r="86" spans="1:6" x14ac:dyDescent="0.3">
      <c r="A86" s="4" t="s">
        <v>387</v>
      </c>
      <c r="B86">
        <v>40</v>
      </c>
      <c r="E86" s="5">
        <v>39356</v>
      </c>
      <c r="F86">
        <v>40</v>
      </c>
    </row>
    <row r="87" spans="1:6" x14ac:dyDescent="0.3">
      <c r="A87" s="6" t="s">
        <v>408</v>
      </c>
      <c r="B87">
        <v>40</v>
      </c>
      <c r="E87" s="5">
        <v>39264</v>
      </c>
      <c r="F87">
        <v>55</v>
      </c>
    </row>
    <row r="88" spans="1:6" x14ac:dyDescent="0.3">
      <c r="A88" s="6" t="s">
        <v>407</v>
      </c>
      <c r="B88">
        <v>15</v>
      </c>
      <c r="E88" s="5">
        <v>39173</v>
      </c>
      <c r="F88">
        <v>70</v>
      </c>
    </row>
    <row r="89" spans="1:6" x14ac:dyDescent="0.3">
      <c r="A89" s="6" t="s">
        <v>406</v>
      </c>
      <c r="B89">
        <v>15</v>
      </c>
      <c r="E89" s="5">
        <v>39083</v>
      </c>
      <c r="F89">
        <v>70</v>
      </c>
    </row>
    <row r="90" spans="1:6" x14ac:dyDescent="0.3">
      <c r="A90" s="6" t="s">
        <v>405</v>
      </c>
      <c r="B90">
        <v>0</v>
      </c>
      <c r="E90" s="5">
        <v>38991</v>
      </c>
      <c r="F90">
        <v>70</v>
      </c>
    </row>
    <row r="91" spans="1:6" x14ac:dyDescent="0.3">
      <c r="A91" s="4" t="s">
        <v>386</v>
      </c>
      <c r="B91">
        <v>50</v>
      </c>
      <c r="E91" s="5">
        <v>38899</v>
      </c>
      <c r="F91">
        <v>65</v>
      </c>
    </row>
    <row r="92" spans="1:6" x14ac:dyDescent="0.3">
      <c r="A92" s="6" t="s">
        <v>408</v>
      </c>
      <c r="B92">
        <v>0</v>
      </c>
      <c r="E92" s="5">
        <v>38808</v>
      </c>
      <c r="F92">
        <v>65</v>
      </c>
    </row>
    <row r="93" spans="1:6" x14ac:dyDescent="0.3">
      <c r="A93" s="6" t="s">
        <v>407</v>
      </c>
      <c r="B93">
        <v>35</v>
      </c>
      <c r="E93" s="5">
        <v>38718</v>
      </c>
      <c r="F93">
        <v>65</v>
      </c>
    </row>
    <row r="94" spans="1:6" x14ac:dyDescent="0.3">
      <c r="A94" s="6" t="s">
        <v>406</v>
      </c>
      <c r="B94">
        <v>35</v>
      </c>
      <c r="E94" s="5">
        <v>38626</v>
      </c>
      <c r="F94">
        <v>65</v>
      </c>
    </row>
    <row r="95" spans="1:6" x14ac:dyDescent="0.3">
      <c r="A95" s="6" t="s">
        <v>405</v>
      </c>
      <c r="B95">
        <v>50</v>
      </c>
      <c r="E95" s="5">
        <v>38534</v>
      </c>
      <c r="F95">
        <v>65</v>
      </c>
    </row>
    <row r="96" spans="1:6" x14ac:dyDescent="0.3">
      <c r="A96" s="4" t="s">
        <v>385</v>
      </c>
      <c r="B96">
        <v>70</v>
      </c>
      <c r="E96" s="5">
        <v>38443</v>
      </c>
      <c r="F96">
        <v>65</v>
      </c>
    </row>
    <row r="97" spans="1:6" x14ac:dyDescent="0.3">
      <c r="A97" s="6" t="s">
        <v>408</v>
      </c>
      <c r="B97">
        <v>40</v>
      </c>
      <c r="E97" s="5">
        <v>38353</v>
      </c>
      <c r="F97">
        <v>65</v>
      </c>
    </row>
    <row r="98" spans="1:6" x14ac:dyDescent="0.3">
      <c r="A98" s="6" t="s">
        <v>407</v>
      </c>
      <c r="B98">
        <v>55</v>
      </c>
      <c r="E98" s="5">
        <v>38261</v>
      </c>
      <c r="F98">
        <v>80</v>
      </c>
    </row>
    <row r="99" spans="1:6" x14ac:dyDescent="0.3">
      <c r="A99" s="6" t="s">
        <v>406</v>
      </c>
      <c r="B99">
        <v>70</v>
      </c>
      <c r="E99" s="5">
        <v>38169</v>
      </c>
      <c r="F99">
        <v>80</v>
      </c>
    </row>
    <row r="100" spans="1:6" x14ac:dyDescent="0.3">
      <c r="A100" s="6" t="s">
        <v>405</v>
      </c>
      <c r="B100">
        <v>70</v>
      </c>
      <c r="E100" s="5">
        <v>38078</v>
      </c>
      <c r="F100">
        <v>75</v>
      </c>
    </row>
    <row r="101" spans="1:6" x14ac:dyDescent="0.3">
      <c r="A101" s="4" t="s">
        <v>384</v>
      </c>
      <c r="B101">
        <v>70</v>
      </c>
      <c r="E101" s="5">
        <v>37987</v>
      </c>
      <c r="F101">
        <v>75</v>
      </c>
    </row>
    <row r="102" spans="1:6" x14ac:dyDescent="0.3">
      <c r="A102" s="6" t="s">
        <v>408</v>
      </c>
      <c r="B102">
        <v>70</v>
      </c>
      <c r="E102" s="5">
        <v>37895</v>
      </c>
      <c r="F102">
        <v>60</v>
      </c>
    </row>
    <row r="103" spans="1:6" x14ac:dyDescent="0.3">
      <c r="A103" s="6" t="s">
        <v>407</v>
      </c>
      <c r="B103">
        <v>65</v>
      </c>
      <c r="E103" s="5">
        <v>37803</v>
      </c>
      <c r="F103">
        <v>50</v>
      </c>
    </row>
    <row r="104" spans="1:6" x14ac:dyDescent="0.3">
      <c r="A104" s="6" t="s">
        <v>406</v>
      </c>
      <c r="B104">
        <v>65</v>
      </c>
      <c r="E104" s="5">
        <v>37712</v>
      </c>
      <c r="F104">
        <v>45</v>
      </c>
    </row>
    <row r="105" spans="1:6" x14ac:dyDescent="0.3">
      <c r="A105" s="6" t="s">
        <v>405</v>
      </c>
      <c r="B105">
        <v>65</v>
      </c>
      <c r="E105" s="5">
        <v>37622</v>
      </c>
      <c r="F105">
        <v>35</v>
      </c>
    </row>
    <row r="106" spans="1:6" x14ac:dyDescent="0.3">
      <c r="A106" s="4" t="s">
        <v>383</v>
      </c>
      <c r="B106">
        <v>65</v>
      </c>
      <c r="E106" s="5">
        <v>37530</v>
      </c>
      <c r="F106">
        <v>45</v>
      </c>
    </row>
    <row r="107" spans="1:6" x14ac:dyDescent="0.3">
      <c r="A107" s="6" t="s">
        <v>408</v>
      </c>
      <c r="B107">
        <v>65</v>
      </c>
      <c r="E107" s="5">
        <v>37438</v>
      </c>
      <c r="F107">
        <v>45</v>
      </c>
    </row>
    <row r="108" spans="1:6" x14ac:dyDescent="0.3">
      <c r="A108" s="6" t="s">
        <v>407</v>
      </c>
      <c r="B108">
        <v>65</v>
      </c>
      <c r="E108" s="5">
        <v>37347</v>
      </c>
      <c r="F108">
        <v>50</v>
      </c>
    </row>
    <row r="109" spans="1:6" x14ac:dyDescent="0.3">
      <c r="A109" s="6" t="s">
        <v>406</v>
      </c>
      <c r="B109">
        <v>65</v>
      </c>
      <c r="E109" s="5">
        <v>37257</v>
      </c>
      <c r="F109">
        <v>40</v>
      </c>
    </row>
    <row r="110" spans="1:6" x14ac:dyDescent="0.3">
      <c r="A110" s="6" t="s">
        <v>405</v>
      </c>
      <c r="B110">
        <v>65</v>
      </c>
      <c r="E110" s="5">
        <v>37165</v>
      </c>
      <c r="F110">
        <v>25</v>
      </c>
    </row>
    <row r="111" spans="1:6" x14ac:dyDescent="0.3">
      <c r="A111" s="4" t="s">
        <v>382</v>
      </c>
      <c r="B111">
        <v>80</v>
      </c>
      <c r="E111" s="5">
        <v>37073</v>
      </c>
      <c r="F111">
        <v>25</v>
      </c>
    </row>
    <row r="112" spans="1:6" x14ac:dyDescent="0.3">
      <c r="A112" s="6" t="s">
        <v>408</v>
      </c>
      <c r="B112">
        <v>80</v>
      </c>
      <c r="E112" s="5">
        <v>36982</v>
      </c>
      <c r="F112">
        <v>40</v>
      </c>
    </row>
    <row r="113" spans="1:6" x14ac:dyDescent="0.3">
      <c r="A113" s="6" t="s">
        <v>407</v>
      </c>
      <c r="B113">
        <v>80</v>
      </c>
      <c r="E113" s="5">
        <v>36892</v>
      </c>
      <c r="F113">
        <v>50</v>
      </c>
    </row>
    <row r="114" spans="1:6" x14ac:dyDescent="0.3">
      <c r="A114" s="6" t="s">
        <v>406</v>
      </c>
      <c r="B114">
        <v>75</v>
      </c>
      <c r="E114" s="5">
        <v>36800</v>
      </c>
      <c r="F114">
        <v>65</v>
      </c>
    </row>
    <row r="115" spans="1:6" x14ac:dyDescent="0.3">
      <c r="A115" s="6" t="s">
        <v>405</v>
      </c>
      <c r="B115">
        <v>75</v>
      </c>
      <c r="E115" s="5">
        <v>36708</v>
      </c>
      <c r="F115">
        <v>80</v>
      </c>
    </row>
    <row r="116" spans="1:6" x14ac:dyDescent="0.3">
      <c r="A116" s="4" t="s">
        <v>381</v>
      </c>
      <c r="B116">
        <v>60</v>
      </c>
      <c r="E116" s="5">
        <v>36617</v>
      </c>
      <c r="F116">
        <v>80</v>
      </c>
    </row>
    <row r="117" spans="1:6" x14ac:dyDescent="0.3">
      <c r="A117" s="6" t="s">
        <v>408</v>
      </c>
      <c r="B117">
        <v>60</v>
      </c>
      <c r="E117" s="5">
        <v>36526</v>
      </c>
      <c r="F117">
        <v>80</v>
      </c>
    </row>
    <row r="118" spans="1:6" x14ac:dyDescent="0.3">
      <c r="A118" s="6" t="s">
        <v>407</v>
      </c>
      <c r="B118">
        <v>50</v>
      </c>
      <c r="E118" s="5">
        <v>36434</v>
      </c>
      <c r="F118">
        <v>80</v>
      </c>
    </row>
    <row r="119" spans="1:6" x14ac:dyDescent="0.3">
      <c r="A119" s="6" t="s">
        <v>406</v>
      </c>
      <c r="B119">
        <v>45</v>
      </c>
      <c r="E119" s="5">
        <v>36342</v>
      </c>
      <c r="F119">
        <v>75</v>
      </c>
    </row>
    <row r="120" spans="1:6" x14ac:dyDescent="0.3">
      <c r="A120" s="6" t="s">
        <v>405</v>
      </c>
      <c r="B120">
        <v>35</v>
      </c>
      <c r="E120" s="5">
        <v>36251</v>
      </c>
      <c r="F120">
        <v>60</v>
      </c>
    </row>
    <row r="121" spans="1:6" x14ac:dyDescent="0.3">
      <c r="A121" s="4" t="s">
        <v>380</v>
      </c>
      <c r="B121">
        <v>50</v>
      </c>
      <c r="E121" s="5">
        <v>36161</v>
      </c>
      <c r="F121">
        <v>60</v>
      </c>
    </row>
    <row r="122" spans="1:6" x14ac:dyDescent="0.3">
      <c r="A122" s="6" t="s">
        <v>408</v>
      </c>
      <c r="B122">
        <v>45</v>
      </c>
      <c r="E122" s="5">
        <v>36069</v>
      </c>
      <c r="F122">
        <v>60</v>
      </c>
    </row>
    <row r="123" spans="1:6" x14ac:dyDescent="0.3">
      <c r="A123" s="6" t="s">
        <v>407</v>
      </c>
      <c r="B123">
        <v>45</v>
      </c>
      <c r="E123" s="5">
        <v>35977</v>
      </c>
      <c r="F123">
        <v>60</v>
      </c>
    </row>
    <row r="124" spans="1:6" x14ac:dyDescent="0.3">
      <c r="A124" s="6" t="s">
        <v>406</v>
      </c>
      <c r="B124">
        <v>50</v>
      </c>
      <c r="E124" s="5">
        <v>35886</v>
      </c>
      <c r="F124">
        <v>75</v>
      </c>
    </row>
    <row r="125" spans="1:6" x14ac:dyDescent="0.3">
      <c r="A125" s="6" t="s">
        <v>405</v>
      </c>
      <c r="B125">
        <v>40</v>
      </c>
      <c r="E125" s="5">
        <v>35796</v>
      </c>
      <c r="F125">
        <v>80</v>
      </c>
    </row>
    <row r="126" spans="1:6" x14ac:dyDescent="0.3">
      <c r="A126" s="4" t="s">
        <v>379</v>
      </c>
      <c r="B126">
        <v>50</v>
      </c>
      <c r="E126" s="5">
        <v>35704</v>
      </c>
      <c r="F126">
        <v>80</v>
      </c>
    </row>
    <row r="127" spans="1:6" x14ac:dyDescent="0.3">
      <c r="A127" s="6" t="s">
        <v>408</v>
      </c>
      <c r="B127">
        <v>25</v>
      </c>
      <c r="E127" s="5">
        <v>35612</v>
      </c>
      <c r="F127">
        <v>70</v>
      </c>
    </row>
    <row r="128" spans="1:6" x14ac:dyDescent="0.3">
      <c r="A128" s="6" t="s">
        <v>407</v>
      </c>
      <c r="B128">
        <v>25</v>
      </c>
      <c r="E128" s="5">
        <v>35521</v>
      </c>
      <c r="F128">
        <v>70</v>
      </c>
    </row>
    <row r="129" spans="1:6" x14ac:dyDescent="0.3">
      <c r="A129" s="6" t="s">
        <v>406</v>
      </c>
      <c r="B129">
        <v>40</v>
      </c>
      <c r="E129" s="5">
        <v>35431</v>
      </c>
      <c r="F129">
        <v>75</v>
      </c>
    </row>
    <row r="130" spans="1:6" x14ac:dyDescent="0.3">
      <c r="A130" s="6" t="s">
        <v>405</v>
      </c>
      <c r="B130">
        <v>50</v>
      </c>
      <c r="E130" s="5">
        <v>35339</v>
      </c>
      <c r="F130">
        <v>75</v>
      </c>
    </row>
    <row r="131" spans="1:6" x14ac:dyDescent="0.3">
      <c r="A131" s="4" t="s">
        <v>378</v>
      </c>
      <c r="B131">
        <v>80</v>
      </c>
      <c r="E131" s="5">
        <v>35247</v>
      </c>
      <c r="F131">
        <v>75</v>
      </c>
    </row>
    <row r="132" spans="1:6" x14ac:dyDescent="0.3">
      <c r="A132" s="6" t="s">
        <v>408</v>
      </c>
      <c r="B132">
        <v>65</v>
      </c>
      <c r="E132" s="5">
        <v>35156</v>
      </c>
      <c r="F132">
        <v>50</v>
      </c>
    </row>
    <row r="133" spans="1:6" x14ac:dyDescent="0.3">
      <c r="A133" s="6" t="s">
        <v>407</v>
      </c>
      <c r="B133">
        <v>80</v>
      </c>
      <c r="E133" s="5">
        <v>35065</v>
      </c>
      <c r="F133">
        <v>40</v>
      </c>
    </row>
    <row r="134" spans="1:6" x14ac:dyDescent="0.3">
      <c r="A134" s="6" t="s">
        <v>406</v>
      </c>
      <c r="B134">
        <v>80</v>
      </c>
      <c r="E134" s="5">
        <v>34973</v>
      </c>
      <c r="F134">
        <v>55</v>
      </c>
    </row>
    <row r="135" spans="1:6" x14ac:dyDescent="0.3">
      <c r="A135" s="6" t="s">
        <v>405</v>
      </c>
      <c r="B135">
        <v>80</v>
      </c>
      <c r="E135" s="5">
        <v>34881</v>
      </c>
      <c r="F135">
        <v>70</v>
      </c>
    </row>
    <row r="136" spans="1:6" x14ac:dyDescent="0.3">
      <c r="A136" s="4" t="s">
        <v>376</v>
      </c>
      <c r="B136">
        <v>80</v>
      </c>
      <c r="E136" s="5">
        <v>34790</v>
      </c>
      <c r="F136">
        <v>65</v>
      </c>
    </row>
    <row r="137" spans="1:6" x14ac:dyDescent="0.3">
      <c r="E137" s="5">
        <v>34700</v>
      </c>
      <c r="F137">
        <v>80</v>
      </c>
    </row>
    <row r="138" spans="1:6" x14ac:dyDescent="0.3">
      <c r="E138" s="5">
        <v>34608</v>
      </c>
      <c r="F138">
        <v>80</v>
      </c>
    </row>
    <row r="139" spans="1:6" x14ac:dyDescent="0.3">
      <c r="E139" s="5">
        <v>34516</v>
      </c>
      <c r="F139">
        <v>80</v>
      </c>
    </row>
    <row r="140" spans="1:6" x14ac:dyDescent="0.3">
      <c r="E140" s="5">
        <v>34425</v>
      </c>
      <c r="F140">
        <v>80</v>
      </c>
    </row>
    <row r="141" spans="1:6" x14ac:dyDescent="0.3">
      <c r="E141" s="5">
        <v>34335</v>
      </c>
      <c r="F141">
        <v>80</v>
      </c>
    </row>
    <row r="142" spans="1:6" x14ac:dyDescent="0.3">
      <c r="E142" s="5">
        <v>34243</v>
      </c>
      <c r="F142">
        <v>75</v>
      </c>
    </row>
    <row r="143" spans="1:6" x14ac:dyDescent="0.3">
      <c r="E143" s="5">
        <v>34151</v>
      </c>
      <c r="F143">
        <v>75</v>
      </c>
    </row>
    <row r="144" spans="1:6" x14ac:dyDescent="0.3">
      <c r="E144" s="5">
        <v>34060</v>
      </c>
      <c r="F144">
        <v>75</v>
      </c>
    </row>
    <row r="145" spans="5:6" x14ac:dyDescent="0.3">
      <c r="E145" s="5">
        <v>33970</v>
      </c>
      <c r="F145">
        <v>75</v>
      </c>
    </row>
    <row r="146" spans="5:6" x14ac:dyDescent="0.3">
      <c r="E146" s="5">
        <v>33878</v>
      </c>
      <c r="F146">
        <v>45</v>
      </c>
    </row>
    <row r="147" spans="5:6" x14ac:dyDescent="0.3">
      <c r="E147" s="5">
        <v>33786</v>
      </c>
      <c r="F147">
        <v>30</v>
      </c>
    </row>
    <row r="148" spans="5:6" x14ac:dyDescent="0.3">
      <c r="E148" s="5">
        <v>33695</v>
      </c>
      <c r="F148">
        <v>30</v>
      </c>
    </row>
    <row r="149" spans="5:6" x14ac:dyDescent="0.3">
      <c r="E149" s="5">
        <v>33604</v>
      </c>
      <c r="F149">
        <v>15</v>
      </c>
    </row>
    <row r="150" spans="5:6" x14ac:dyDescent="0.3">
      <c r="E150" s="5">
        <v>33512</v>
      </c>
      <c r="F150">
        <v>30</v>
      </c>
    </row>
    <row r="151" spans="5:6" x14ac:dyDescent="0.3">
      <c r="E151" s="5">
        <v>33420</v>
      </c>
      <c r="F151">
        <v>15</v>
      </c>
    </row>
    <row r="152" spans="5:6" x14ac:dyDescent="0.3">
      <c r="E152" s="5">
        <v>33329</v>
      </c>
      <c r="F152">
        <v>0</v>
      </c>
    </row>
    <row r="153" spans="5:6" x14ac:dyDescent="0.3">
      <c r="E153" s="5">
        <v>33239</v>
      </c>
      <c r="F153">
        <v>0</v>
      </c>
    </row>
    <row r="154" spans="5:6" x14ac:dyDescent="0.3">
      <c r="E154" s="5">
        <v>33147</v>
      </c>
      <c r="F154">
        <v>30</v>
      </c>
    </row>
    <row r="155" spans="5:6" x14ac:dyDescent="0.3">
      <c r="E155" s="5">
        <v>33055</v>
      </c>
      <c r="F155">
        <v>30</v>
      </c>
    </row>
    <row r="156" spans="5:6" x14ac:dyDescent="0.3">
      <c r="E156" s="5">
        <v>32964</v>
      </c>
      <c r="F156">
        <v>30</v>
      </c>
    </row>
    <row r="157" spans="5:6" x14ac:dyDescent="0.3">
      <c r="E157" s="5">
        <v>32874</v>
      </c>
      <c r="F157">
        <v>30</v>
      </c>
    </row>
    <row r="158" spans="5:6" x14ac:dyDescent="0.3">
      <c r="E158" s="5">
        <v>32782</v>
      </c>
      <c r="F158">
        <v>35</v>
      </c>
    </row>
    <row r="159" spans="5:6" x14ac:dyDescent="0.3">
      <c r="E159" s="5">
        <v>32690</v>
      </c>
      <c r="F159">
        <v>45</v>
      </c>
    </row>
    <row r="160" spans="5:6" x14ac:dyDescent="0.3">
      <c r="E160" s="5">
        <v>32599</v>
      </c>
      <c r="F160">
        <v>45</v>
      </c>
    </row>
    <row r="161" spans="5:6" x14ac:dyDescent="0.3">
      <c r="E161" s="5">
        <v>32509</v>
      </c>
      <c r="F161">
        <v>60</v>
      </c>
    </row>
    <row r="162" spans="5:6" x14ac:dyDescent="0.3">
      <c r="E162" s="5">
        <v>32417</v>
      </c>
      <c r="F162">
        <v>60</v>
      </c>
    </row>
    <row r="163" spans="5:6" x14ac:dyDescent="0.3">
      <c r="E163" s="5">
        <v>32325</v>
      </c>
      <c r="F163">
        <v>60</v>
      </c>
    </row>
    <row r="164" spans="5:6" x14ac:dyDescent="0.3">
      <c r="E164" s="5">
        <v>32234</v>
      </c>
      <c r="F164">
        <v>60</v>
      </c>
    </row>
    <row r="165" spans="5:6" x14ac:dyDescent="0.3">
      <c r="E165" s="5">
        <v>32143</v>
      </c>
      <c r="F165">
        <v>60</v>
      </c>
    </row>
    <row r="166" spans="5:6" x14ac:dyDescent="0.3">
      <c r="E166" s="5">
        <v>32051</v>
      </c>
      <c r="F166">
        <v>45</v>
      </c>
    </row>
    <row r="167" spans="5:6" x14ac:dyDescent="0.3">
      <c r="E167" s="5">
        <v>31959</v>
      </c>
      <c r="F167">
        <v>45</v>
      </c>
    </row>
    <row r="168" spans="5:6" x14ac:dyDescent="0.3">
      <c r="E168" s="5">
        <v>31868</v>
      </c>
      <c r="F168">
        <v>40</v>
      </c>
    </row>
    <row r="169" spans="5:6" x14ac:dyDescent="0.3">
      <c r="E169" s="5">
        <v>31778</v>
      </c>
      <c r="F169">
        <v>40</v>
      </c>
    </row>
    <row r="170" spans="5:6" x14ac:dyDescent="0.3">
      <c r="E170" s="5">
        <v>31686</v>
      </c>
      <c r="F170">
        <v>55</v>
      </c>
    </row>
    <row r="171" spans="5:6" x14ac:dyDescent="0.3">
      <c r="E171" s="5">
        <v>31594</v>
      </c>
      <c r="F171">
        <v>55</v>
      </c>
    </row>
    <row r="172" spans="5:6" x14ac:dyDescent="0.3">
      <c r="E172" s="5">
        <v>31503</v>
      </c>
      <c r="F172">
        <v>55</v>
      </c>
    </row>
    <row r="173" spans="5:6" x14ac:dyDescent="0.3">
      <c r="E173" s="5">
        <v>31413</v>
      </c>
      <c r="F173">
        <v>55</v>
      </c>
    </row>
    <row r="174" spans="5:6" x14ac:dyDescent="0.3">
      <c r="E174" s="5">
        <v>31321</v>
      </c>
      <c r="F174">
        <v>40</v>
      </c>
    </row>
    <row r="175" spans="5:6" x14ac:dyDescent="0.3">
      <c r="E175" s="5">
        <v>31229</v>
      </c>
      <c r="F175">
        <v>40</v>
      </c>
    </row>
    <row r="176" spans="5:6" x14ac:dyDescent="0.3">
      <c r="E176" s="5">
        <v>31138</v>
      </c>
      <c r="F176">
        <v>40</v>
      </c>
    </row>
    <row r="177" spans="5:6" x14ac:dyDescent="0.3">
      <c r="E177" s="5">
        <v>31048</v>
      </c>
      <c r="F177">
        <v>40</v>
      </c>
    </row>
    <row r="178" spans="5:6" x14ac:dyDescent="0.3">
      <c r="E178" s="5">
        <v>30956</v>
      </c>
      <c r="F178">
        <v>55</v>
      </c>
    </row>
    <row r="179" spans="5:6" x14ac:dyDescent="0.3">
      <c r="E179" s="5">
        <v>30864</v>
      </c>
      <c r="F179">
        <v>60</v>
      </c>
    </row>
    <row r="180" spans="5:6" x14ac:dyDescent="0.3">
      <c r="E180" s="5">
        <v>30773</v>
      </c>
      <c r="F180">
        <v>60</v>
      </c>
    </row>
    <row r="181" spans="5:6" x14ac:dyDescent="0.3">
      <c r="E181" s="5">
        <v>30682</v>
      </c>
      <c r="F181">
        <v>60</v>
      </c>
    </row>
    <row r="182" spans="5:6" x14ac:dyDescent="0.3">
      <c r="E182" s="5">
        <v>30590</v>
      </c>
      <c r="F182">
        <v>60</v>
      </c>
    </row>
    <row r="183" spans="5:6" x14ac:dyDescent="0.3">
      <c r="E183" s="5">
        <v>30498</v>
      </c>
      <c r="F183">
        <v>55</v>
      </c>
    </row>
    <row r="184" spans="5:6" x14ac:dyDescent="0.3">
      <c r="E184" s="5">
        <v>30407</v>
      </c>
      <c r="F184">
        <v>30</v>
      </c>
    </row>
    <row r="185" spans="5:6" x14ac:dyDescent="0.3">
      <c r="E185" s="5">
        <v>30317</v>
      </c>
      <c r="F185">
        <v>30</v>
      </c>
    </row>
    <row r="186" spans="5:6" x14ac:dyDescent="0.3">
      <c r="E186" s="5">
        <v>30225</v>
      </c>
      <c r="F186">
        <v>15</v>
      </c>
    </row>
    <row r="187" spans="5:6" x14ac:dyDescent="0.3">
      <c r="E187" s="5">
        <v>30133</v>
      </c>
      <c r="F187">
        <v>0</v>
      </c>
    </row>
    <row r="188" spans="5:6" x14ac:dyDescent="0.3">
      <c r="E188" s="5">
        <v>30042</v>
      </c>
      <c r="F188">
        <v>0</v>
      </c>
    </row>
    <row r="189" spans="5:6" x14ac:dyDescent="0.3">
      <c r="E189" s="5">
        <v>29952</v>
      </c>
      <c r="F189">
        <v>0</v>
      </c>
    </row>
    <row r="190" spans="5:6" x14ac:dyDescent="0.3">
      <c r="E190" s="5">
        <v>29860</v>
      </c>
      <c r="F190">
        <v>30</v>
      </c>
    </row>
    <row r="191" spans="5:6" x14ac:dyDescent="0.3">
      <c r="E191" s="5">
        <v>29768</v>
      </c>
      <c r="F191">
        <v>60</v>
      </c>
    </row>
    <row r="192" spans="5:6" x14ac:dyDescent="0.3">
      <c r="E192" s="5">
        <v>29677</v>
      </c>
      <c r="F192">
        <v>50</v>
      </c>
    </row>
    <row r="193" spans="5:6" x14ac:dyDescent="0.3">
      <c r="E193" s="5">
        <v>29587</v>
      </c>
      <c r="F193">
        <v>50</v>
      </c>
    </row>
    <row r="194" spans="5:6" x14ac:dyDescent="0.3">
      <c r="E194" s="5">
        <v>29495</v>
      </c>
      <c r="F194">
        <v>35</v>
      </c>
    </row>
    <row r="195" spans="5:6" x14ac:dyDescent="0.3">
      <c r="E195" s="5">
        <v>29403</v>
      </c>
      <c r="F195">
        <v>15</v>
      </c>
    </row>
    <row r="196" spans="5:6" x14ac:dyDescent="0.3">
      <c r="E196" s="5">
        <v>29312</v>
      </c>
      <c r="F196">
        <v>20</v>
      </c>
    </row>
    <row r="197" spans="5:6" x14ac:dyDescent="0.3">
      <c r="E197" s="5">
        <v>29221</v>
      </c>
      <c r="F197">
        <v>35</v>
      </c>
    </row>
    <row r="198" spans="5:6" x14ac:dyDescent="0.3">
      <c r="E198" s="5">
        <v>29129</v>
      </c>
      <c r="F198">
        <v>35</v>
      </c>
    </row>
    <row r="199" spans="5:6" x14ac:dyDescent="0.3">
      <c r="E199" s="5">
        <v>29037</v>
      </c>
      <c r="F199">
        <v>45</v>
      </c>
    </row>
    <row r="200" spans="5:6" x14ac:dyDescent="0.3">
      <c r="E200" s="5">
        <v>28946</v>
      </c>
      <c r="F200">
        <v>45</v>
      </c>
    </row>
    <row r="201" spans="5:6" x14ac:dyDescent="0.3">
      <c r="E201" s="5">
        <v>28856</v>
      </c>
      <c r="F201">
        <v>45</v>
      </c>
    </row>
    <row r="202" spans="5:6" x14ac:dyDescent="0.3">
      <c r="E202" s="5">
        <v>28764</v>
      </c>
      <c r="F202">
        <v>45</v>
      </c>
    </row>
    <row r="203" spans="5:6" x14ac:dyDescent="0.3">
      <c r="E203" s="5">
        <v>28672</v>
      </c>
      <c r="F203">
        <v>45</v>
      </c>
    </row>
    <row r="204" spans="5:6" x14ac:dyDescent="0.3">
      <c r="E204" s="5">
        <v>28581</v>
      </c>
      <c r="F204">
        <v>45</v>
      </c>
    </row>
    <row r="205" spans="5:6" x14ac:dyDescent="0.3">
      <c r="E205" s="5">
        <v>28491</v>
      </c>
      <c r="F205">
        <v>45</v>
      </c>
    </row>
    <row r="206" spans="5:6" x14ac:dyDescent="0.3">
      <c r="E206" s="5">
        <v>28399</v>
      </c>
      <c r="F206">
        <v>45</v>
      </c>
    </row>
    <row r="207" spans="5:6" x14ac:dyDescent="0.3">
      <c r="E207" s="5">
        <v>28307</v>
      </c>
      <c r="F207">
        <v>45</v>
      </c>
    </row>
    <row r="208" spans="5:6" x14ac:dyDescent="0.3">
      <c r="E208" s="5">
        <v>28216</v>
      </c>
      <c r="F208">
        <v>40</v>
      </c>
    </row>
    <row r="209" spans="5:6" x14ac:dyDescent="0.3">
      <c r="E209" s="5">
        <v>28126</v>
      </c>
      <c r="F209">
        <v>40</v>
      </c>
    </row>
    <row r="210" spans="5:6" x14ac:dyDescent="0.3">
      <c r="E210" s="5">
        <v>28034</v>
      </c>
      <c r="F210">
        <v>40</v>
      </c>
    </row>
    <row r="211" spans="5:6" x14ac:dyDescent="0.3">
      <c r="E211" s="5">
        <v>27942</v>
      </c>
      <c r="F211">
        <v>40</v>
      </c>
    </row>
    <row r="212" spans="5:6" x14ac:dyDescent="0.3">
      <c r="E212" s="5">
        <v>27851</v>
      </c>
      <c r="F212">
        <v>40</v>
      </c>
    </row>
    <row r="213" spans="5:6" x14ac:dyDescent="0.3">
      <c r="E213" s="5">
        <v>27760</v>
      </c>
      <c r="F213">
        <v>40</v>
      </c>
    </row>
    <row r="214" spans="5:6" x14ac:dyDescent="0.3">
      <c r="E214" s="5">
        <v>27668</v>
      </c>
      <c r="F214">
        <v>15</v>
      </c>
    </row>
    <row r="215" spans="5:6" x14ac:dyDescent="0.3">
      <c r="E215" s="5">
        <v>27576</v>
      </c>
      <c r="F215">
        <v>15</v>
      </c>
    </row>
    <row r="216" spans="5:6" x14ac:dyDescent="0.3">
      <c r="E216" s="5">
        <v>27485</v>
      </c>
      <c r="F216">
        <v>0</v>
      </c>
    </row>
    <row r="217" spans="5:6" x14ac:dyDescent="0.3">
      <c r="E217" s="5">
        <v>27395</v>
      </c>
      <c r="F217">
        <v>0</v>
      </c>
    </row>
    <row r="218" spans="5:6" x14ac:dyDescent="0.3">
      <c r="E218" s="5">
        <v>27303</v>
      </c>
      <c r="F218">
        <v>15</v>
      </c>
    </row>
    <row r="219" spans="5:6" x14ac:dyDescent="0.3">
      <c r="E219" s="5">
        <v>27211</v>
      </c>
      <c r="F219">
        <v>20</v>
      </c>
    </row>
    <row r="220" spans="5:6" x14ac:dyDescent="0.3">
      <c r="E220" s="5">
        <v>27120</v>
      </c>
      <c r="F220">
        <v>20</v>
      </c>
    </row>
    <row r="221" spans="5:6" x14ac:dyDescent="0.3">
      <c r="E221" s="5">
        <v>27030</v>
      </c>
      <c r="F221">
        <v>35</v>
      </c>
    </row>
    <row r="222" spans="5:6" x14ac:dyDescent="0.3">
      <c r="E222" s="5">
        <v>26938</v>
      </c>
      <c r="F222">
        <v>45</v>
      </c>
    </row>
    <row r="223" spans="5:6" x14ac:dyDescent="0.3">
      <c r="E223" s="5">
        <v>26846</v>
      </c>
      <c r="F223">
        <v>45</v>
      </c>
    </row>
    <row r="224" spans="5:6" x14ac:dyDescent="0.3">
      <c r="E224" s="5">
        <v>26755</v>
      </c>
      <c r="F224">
        <v>45</v>
      </c>
    </row>
    <row r="225" spans="5:6" x14ac:dyDescent="0.3">
      <c r="E225" s="5">
        <v>26665</v>
      </c>
      <c r="F225">
        <v>45</v>
      </c>
    </row>
    <row r="226" spans="5:6" x14ac:dyDescent="0.3">
      <c r="E226" s="5">
        <v>26573</v>
      </c>
      <c r="F226">
        <v>45</v>
      </c>
    </row>
    <row r="227" spans="5:6" x14ac:dyDescent="0.3">
      <c r="E227" s="5">
        <v>26481</v>
      </c>
      <c r="F227">
        <v>40</v>
      </c>
    </row>
    <row r="228" spans="5:6" x14ac:dyDescent="0.3">
      <c r="E228" s="5">
        <v>26390</v>
      </c>
      <c r="F228">
        <v>40</v>
      </c>
    </row>
    <row r="229" spans="5:6" x14ac:dyDescent="0.3">
      <c r="E229" s="5">
        <v>26299</v>
      </c>
      <c r="F229">
        <v>40</v>
      </c>
    </row>
    <row r="230" spans="5:6" x14ac:dyDescent="0.3">
      <c r="E230" s="5">
        <v>26207</v>
      </c>
      <c r="F230">
        <v>30</v>
      </c>
    </row>
    <row r="231" spans="5:6" x14ac:dyDescent="0.3">
      <c r="E231" s="5">
        <v>26115</v>
      </c>
      <c r="F231">
        <v>30</v>
      </c>
    </row>
    <row r="232" spans="5:6" x14ac:dyDescent="0.3">
      <c r="E232" s="5">
        <v>26024</v>
      </c>
      <c r="F232">
        <v>30</v>
      </c>
    </row>
    <row r="233" spans="5:6" x14ac:dyDescent="0.3">
      <c r="E233" s="5">
        <v>25934</v>
      </c>
      <c r="F233">
        <v>15</v>
      </c>
    </row>
    <row r="234" spans="5:6" x14ac:dyDescent="0.3">
      <c r="E234" s="5">
        <v>25842</v>
      </c>
      <c r="F234">
        <v>0</v>
      </c>
    </row>
    <row r="235" spans="5:6" x14ac:dyDescent="0.3">
      <c r="E235" s="5">
        <v>25750</v>
      </c>
      <c r="F235">
        <v>30</v>
      </c>
    </row>
    <row r="236" spans="5:6" x14ac:dyDescent="0.3">
      <c r="E236" s="5">
        <v>25659</v>
      </c>
      <c r="F236">
        <v>30</v>
      </c>
    </row>
    <row r="237" spans="5:6" x14ac:dyDescent="0.3">
      <c r="E237" s="5">
        <v>25569</v>
      </c>
      <c r="F237">
        <v>35</v>
      </c>
    </row>
    <row r="238" spans="5:6" x14ac:dyDescent="0.3">
      <c r="E238" s="5">
        <v>25477</v>
      </c>
      <c r="F238">
        <v>35</v>
      </c>
    </row>
    <row r="239" spans="5:6" x14ac:dyDescent="0.3">
      <c r="E239" s="5">
        <v>25385</v>
      </c>
      <c r="F239">
        <v>35</v>
      </c>
    </row>
    <row r="240" spans="5:6" x14ac:dyDescent="0.3">
      <c r="E240" s="5">
        <v>25294</v>
      </c>
      <c r="F240">
        <v>45</v>
      </c>
    </row>
    <row r="241" spans="5:6" x14ac:dyDescent="0.3">
      <c r="E241" s="5">
        <v>25204</v>
      </c>
      <c r="F241">
        <v>45</v>
      </c>
    </row>
    <row r="242" spans="5:6" x14ac:dyDescent="0.3">
      <c r="E242" s="5">
        <v>25112</v>
      </c>
      <c r="F242">
        <v>45</v>
      </c>
    </row>
    <row r="243" spans="5:6" x14ac:dyDescent="0.3">
      <c r="E243" s="5">
        <v>25020</v>
      </c>
      <c r="F243">
        <v>45</v>
      </c>
    </row>
    <row r="244" spans="5:6" x14ac:dyDescent="0.3">
      <c r="E244" s="5">
        <v>24929</v>
      </c>
      <c r="F244">
        <v>45</v>
      </c>
    </row>
    <row r="245" spans="5:6" x14ac:dyDescent="0.3">
      <c r="E245" s="5">
        <v>24838</v>
      </c>
      <c r="F245">
        <v>40</v>
      </c>
    </row>
    <row r="246" spans="5:6" x14ac:dyDescent="0.3">
      <c r="E246" s="5">
        <v>24746</v>
      </c>
      <c r="F246">
        <v>30</v>
      </c>
    </row>
    <row r="247" spans="5:6" x14ac:dyDescent="0.3">
      <c r="E247" s="5">
        <v>24654</v>
      </c>
      <c r="F247">
        <v>30</v>
      </c>
    </row>
    <row r="248" spans="5:6" x14ac:dyDescent="0.3">
      <c r="E248" s="5">
        <v>24563</v>
      </c>
      <c r="F248">
        <v>30</v>
      </c>
    </row>
    <row r="249" spans="5:6" x14ac:dyDescent="0.3">
      <c r="E249" s="5">
        <v>24473</v>
      </c>
      <c r="F249">
        <v>45</v>
      </c>
    </row>
    <row r="250" spans="5:6" x14ac:dyDescent="0.3">
      <c r="E250" s="5">
        <v>24381</v>
      </c>
      <c r="F250">
        <v>45</v>
      </c>
    </row>
    <row r="251" spans="5:6" x14ac:dyDescent="0.3">
      <c r="E251" s="5">
        <v>24289</v>
      </c>
      <c r="F251">
        <v>45</v>
      </c>
    </row>
    <row r="252" spans="5:6" x14ac:dyDescent="0.3">
      <c r="E252" s="5">
        <v>24198</v>
      </c>
      <c r="F252">
        <v>45</v>
      </c>
    </row>
    <row r="253" spans="5:6" x14ac:dyDescent="0.3">
      <c r="E253" s="5">
        <v>24108</v>
      </c>
      <c r="F253">
        <v>45</v>
      </c>
    </row>
    <row r="254" spans="5:6" x14ac:dyDescent="0.3">
      <c r="E254" s="5">
        <v>24016</v>
      </c>
      <c r="F254">
        <v>45</v>
      </c>
    </row>
    <row r="255" spans="5:6" x14ac:dyDescent="0.3">
      <c r="E255" s="5">
        <v>23924</v>
      </c>
      <c r="F255">
        <v>45</v>
      </c>
    </row>
    <row r="256" spans="5:6" x14ac:dyDescent="0.3">
      <c r="E256" s="5">
        <v>23833</v>
      </c>
      <c r="F256">
        <v>45</v>
      </c>
    </row>
    <row r="257" spans="5:6" x14ac:dyDescent="0.3">
      <c r="E257" s="5">
        <v>23743</v>
      </c>
      <c r="F257">
        <v>45</v>
      </c>
    </row>
    <row r="258" spans="5:6" x14ac:dyDescent="0.3">
      <c r="E258" s="5">
        <v>23651</v>
      </c>
      <c r="F258">
        <v>45</v>
      </c>
    </row>
    <row r="259" spans="5:6" x14ac:dyDescent="0.3">
      <c r="E259" s="5">
        <v>23559</v>
      </c>
      <c r="F259">
        <v>45</v>
      </c>
    </row>
    <row r="260" spans="5:6" x14ac:dyDescent="0.3">
      <c r="E260" s="5">
        <v>23468</v>
      </c>
      <c r="F260">
        <v>45</v>
      </c>
    </row>
    <row r="261" spans="5:6" x14ac:dyDescent="0.3">
      <c r="E261" s="5">
        <v>23377</v>
      </c>
      <c r="F261">
        <v>45</v>
      </c>
    </row>
    <row r="262" spans="5:6" x14ac:dyDescent="0.3">
      <c r="E262" s="5">
        <v>23285</v>
      </c>
      <c r="F262">
        <v>35</v>
      </c>
    </row>
    <row r="263" spans="5:6" x14ac:dyDescent="0.3">
      <c r="E263" s="5">
        <v>23193</v>
      </c>
      <c r="F263">
        <v>45</v>
      </c>
    </row>
    <row r="264" spans="5:6" x14ac:dyDescent="0.3">
      <c r="E264" s="5">
        <v>23102</v>
      </c>
      <c r="F264">
        <v>35</v>
      </c>
    </row>
    <row r="265" spans="5:6" x14ac:dyDescent="0.3">
      <c r="E265" s="5">
        <v>23012</v>
      </c>
      <c r="F265">
        <v>35</v>
      </c>
    </row>
    <row r="266" spans="5:6" x14ac:dyDescent="0.3">
      <c r="E266" s="5">
        <v>22920</v>
      </c>
      <c r="F266">
        <v>45</v>
      </c>
    </row>
    <row r="267" spans="5:6" x14ac:dyDescent="0.3">
      <c r="E267" s="5">
        <v>22828</v>
      </c>
      <c r="F267">
        <v>45</v>
      </c>
    </row>
    <row r="268" spans="5:6" x14ac:dyDescent="0.3">
      <c r="E268" s="5">
        <v>22737</v>
      </c>
      <c r="F268">
        <v>45</v>
      </c>
    </row>
    <row r="269" spans="5:6" x14ac:dyDescent="0.3">
      <c r="E269" s="5">
        <v>22647</v>
      </c>
      <c r="F269">
        <v>45</v>
      </c>
    </row>
    <row r="270" spans="5:6" x14ac:dyDescent="0.3">
      <c r="E270" s="5">
        <v>22555</v>
      </c>
      <c r="F270">
        <v>45</v>
      </c>
    </row>
    <row r="271" spans="5:6" x14ac:dyDescent="0.3">
      <c r="E271" s="5">
        <v>22463</v>
      </c>
      <c r="F271">
        <v>15</v>
      </c>
    </row>
    <row r="272" spans="5:6" x14ac:dyDescent="0.3">
      <c r="E272" s="5">
        <v>22372</v>
      </c>
      <c r="F272">
        <v>15</v>
      </c>
    </row>
    <row r="273" spans="5:6" x14ac:dyDescent="0.3">
      <c r="E273" s="5">
        <v>22282</v>
      </c>
      <c r="F273">
        <v>0</v>
      </c>
    </row>
    <row r="274" spans="5:6" x14ac:dyDescent="0.3">
      <c r="E274" s="5">
        <v>22190</v>
      </c>
      <c r="F274">
        <v>30</v>
      </c>
    </row>
    <row r="275" spans="5:6" x14ac:dyDescent="0.3">
      <c r="E275" s="5">
        <v>22098</v>
      </c>
      <c r="F275">
        <v>30</v>
      </c>
    </row>
    <row r="276" spans="5:6" x14ac:dyDescent="0.3">
      <c r="E276" s="5">
        <v>22007</v>
      </c>
      <c r="F276">
        <v>35</v>
      </c>
    </row>
    <row r="277" spans="5:6" x14ac:dyDescent="0.3">
      <c r="E277" s="5">
        <v>21916</v>
      </c>
      <c r="F277">
        <v>45</v>
      </c>
    </row>
    <row r="278" spans="5:6" x14ac:dyDescent="0.3">
      <c r="E278" s="5">
        <v>21824</v>
      </c>
      <c r="F278">
        <v>45</v>
      </c>
    </row>
    <row r="279" spans="5:6" x14ac:dyDescent="0.3">
      <c r="E279" s="5">
        <v>21732</v>
      </c>
      <c r="F279">
        <v>45</v>
      </c>
    </row>
    <row r="280" spans="5:6" x14ac:dyDescent="0.3">
      <c r="E280" s="5">
        <v>21641</v>
      </c>
      <c r="F280">
        <v>45</v>
      </c>
    </row>
    <row r="281" spans="5:6" x14ac:dyDescent="0.3">
      <c r="E281" s="5">
        <v>21551</v>
      </c>
      <c r="F281">
        <v>45</v>
      </c>
    </row>
    <row r="282" spans="5:6" x14ac:dyDescent="0.3">
      <c r="E282" s="5">
        <v>21459</v>
      </c>
      <c r="F282">
        <v>15</v>
      </c>
    </row>
    <row r="283" spans="5:6" x14ac:dyDescent="0.3">
      <c r="E283" s="5">
        <v>21367</v>
      </c>
      <c r="F283">
        <v>0</v>
      </c>
    </row>
    <row r="284" spans="5:6" x14ac:dyDescent="0.3">
      <c r="E284" s="5">
        <v>21276</v>
      </c>
      <c r="F284">
        <v>0</v>
      </c>
    </row>
    <row r="285" spans="5:6" x14ac:dyDescent="0.3">
      <c r="E285" s="5">
        <v>21186</v>
      </c>
      <c r="F285">
        <v>0</v>
      </c>
    </row>
    <row r="286" spans="5:6" x14ac:dyDescent="0.3">
      <c r="E286" s="5">
        <v>21094</v>
      </c>
      <c r="F286">
        <v>20</v>
      </c>
    </row>
    <row r="287" spans="5:6" x14ac:dyDescent="0.3">
      <c r="E287" s="5">
        <v>21002</v>
      </c>
      <c r="F287">
        <v>35</v>
      </c>
    </row>
    <row r="288" spans="5:6" x14ac:dyDescent="0.3">
      <c r="E288" s="5">
        <v>20911</v>
      </c>
      <c r="F288">
        <v>45</v>
      </c>
    </row>
    <row r="289" spans="5:6" x14ac:dyDescent="0.3">
      <c r="E289" s="5">
        <v>20821</v>
      </c>
      <c r="F289">
        <v>45</v>
      </c>
    </row>
    <row r="290" spans="5:6" x14ac:dyDescent="0.3">
      <c r="E290" s="5">
        <v>20729</v>
      </c>
      <c r="F290">
        <v>45</v>
      </c>
    </row>
    <row r="291" spans="5:6" x14ac:dyDescent="0.3">
      <c r="E291" s="5">
        <v>20637</v>
      </c>
      <c r="F291">
        <v>35</v>
      </c>
    </row>
    <row r="292" spans="5:6" x14ac:dyDescent="0.3">
      <c r="E292" s="5">
        <v>20546</v>
      </c>
      <c r="F292">
        <v>45</v>
      </c>
    </row>
    <row r="293" spans="5:6" x14ac:dyDescent="0.3">
      <c r="E293" s="5">
        <v>20455</v>
      </c>
      <c r="F293">
        <v>45</v>
      </c>
    </row>
    <row r="294" spans="5:6" x14ac:dyDescent="0.3">
      <c r="E294" s="5">
        <v>20363</v>
      </c>
      <c r="F294">
        <v>45</v>
      </c>
    </row>
    <row r="295" spans="5:6" x14ac:dyDescent="0.3">
      <c r="E295" s="5">
        <v>20271</v>
      </c>
      <c r="F295">
        <v>45</v>
      </c>
    </row>
    <row r="296" spans="5:6" x14ac:dyDescent="0.3">
      <c r="E296" s="5">
        <v>20180</v>
      </c>
      <c r="F296">
        <v>40</v>
      </c>
    </row>
    <row r="297" spans="5:6" x14ac:dyDescent="0.3">
      <c r="E297" s="5">
        <v>20090</v>
      </c>
      <c r="F297">
        <v>40</v>
      </c>
    </row>
    <row r="298" spans="5:6" x14ac:dyDescent="0.3">
      <c r="E298" s="5">
        <v>19998</v>
      </c>
      <c r="F298">
        <v>15</v>
      </c>
    </row>
    <row r="299" spans="5:6" x14ac:dyDescent="0.3">
      <c r="E299" s="5">
        <v>19906</v>
      </c>
      <c r="F299">
        <v>0</v>
      </c>
    </row>
    <row r="300" spans="5:6" x14ac:dyDescent="0.3">
      <c r="E300" s="5">
        <v>19815</v>
      </c>
      <c r="F300">
        <v>0</v>
      </c>
    </row>
    <row r="301" spans="5:6" x14ac:dyDescent="0.3">
      <c r="E301" s="5">
        <v>19725</v>
      </c>
      <c r="F301">
        <v>0</v>
      </c>
    </row>
    <row r="302" spans="5:6" x14ac:dyDescent="0.3">
      <c r="E302" s="5">
        <v>19633</v>
      </c>
      <c r="F302">
        <v>30</v>
      </c>
    </row>
    <row r="303" spans="5:6" x14ac:dyDescent="0.3">
      <c r="E303" s="5">
        <v>19541</v>
      </c>
      <c r="F303">
        <v>40</v>
      </c>
    </row>
    <row r="304" spans="5:6" x14ac:dyDescent="0.3">
      <c r="E304" s="5">
        <v>19450</v>
      </c>
      <c r="F304">
        <v>40</v>
      </c>
    </row>
    <row r="305" spans="5:6" x14ac:dyDescent="0.3">
      <c r="E305" s="5">
        <v>19360</v>
      </c>
      <c r="F305">
        <v>40</v>
      </c>
    </row>
    <row r="306" spans="5:6" x14ac:dyDescent="0.3">
      <c r="E306" s="5">
        <v>19268</v>
      </c>
      <c r="F306">
        <v>40</v>
      </c>
    </row>
    <row r="307" spans="5:6" x14ac:dyDescent="0.3">
      <c r="E307" s="5">
        <v>19176</v>
      </c>
      <c r="F307">
        <v>30</v>
      </c>
    </row>
    <row r="308" spans="5:6" x14ac:dyDescent="0.3">
      <c r="E308" s="5">
        <v>19085</v>
      </c>
      <c r="F308">
        <v>40</v>
      </c>
    </row>
    <row r="309" spans="5:6" x14ac:dyDescent="0.3">
      <c r="E309" s="5">
        <v>18994</v>
      </c>
      <c r="F309">
        <v>40</v>
      </c>
    </row>
    <row r="310" spans="5:6" x14ac:dyDescent="0.3">
      <c r="E310" s="5">
        <v>18902</v>
      </c>
      <c r="F310">
        <v>40</v>
      </c>
    </row>
    <row r="311" spans="5:6" x14ac:dyDescent="0.3">
      <c r="E311" s="5">
        <v>18810</v>
      </c>
      <c r="F311">
        <v>40</v>
      </c>
    </row>
    <row r="312" spans="5:6" x14ac:dyDescent="0.3">
      <c r="E312" s="5">
        <v>18719</v>
      </c>
      <c r="F312">
        <v>40</v>
      </c>
    </row>
    <row r="313" spans="5:6" x14ac:dyDescent="0.3">
      <c r="E313" s="5">
        <v>18629</v>
      </c>
      <c r="F313">
        <v>40</v>
      </c>
    </row>
    <row r="314" spans="5:6" x14ac:dyDescent="0.3">
      <c r="E314" s="5">
        <v>18537</v>
      </c>
      <c r="F314">
        <v>40</v>
      </c>
    </row>
    <row r="315" spans="5:6" x14ac:dyDescent="0.3">
      <c r="E315" s="5">
        <v>18445</v>
      </c>
      <c r="F315">
        <v>40</v>
      </c>
    </row>
    <row r="316" spans="5:6" x14ac:dyDescent="0.3">
      <c r="E316" s="5">
        <v>18354</v>
      </c>
      <c r="F316">
        <v>40</v>
      </c>
    </row>
    <row r="317" spans="5:6" x14ac:dyDescent="0.3">
      <c r="E317" s="5">
        <v>18264</v>
      </c>
      <c r="F317">
        <v>15</v>
      </c>
    </row>
    <row r="318" spans="5:6" x14ac:dyDescent="0.3">
      <c r="E318" s="5">
        <v>18172</v>
      </c>
      <c r="F318">
        <v>0</v>
      </c>
    </row>
    <row r="319" spans="5:6" x14ac:dyDescent="0.3">
      <c r="E319" s="5">
        <v>18080</v>
      </c>
      <c r="F319">
        <v>0</v>
      </c>
    </row>
    <row r="320" spans="5:6" x14ac:dyDescent="0.3">
      <c r="E320" s="5">
        <v>17989</v>
      </c>
      <c r="F320">
        <v>0</v>
      </c>
    </row>
    <row r="321" spans="5:6" x14ac:dyDescent="0.3">
      <c r="E321" s="5">
        <v>17899</v>
      </c>
      <c r="F321">
        <v>15</v>
      </c>
    </row>
    <row r="322" spans="5:6" x14ac:dyDescent="0.3">
      <c r="E322" s="5">
        <v>17807</v>
      </c>
      <c r="F322">
        <v>30</v>
      </c>
    </row>
    <row r="323" spans="5:6" x14ac:dyDescent="0.3">
      <c r="E323" s="5">
        <v>17715</v>
      </c>
      <c r="F323">
        <v>30</v>
      </c>
    </row>
    <row r="324" spans="5:6" x14ac:dyDescent="0.3">
      <c r="E324" s="5">
        <v>17624</v>
      </c>
      <c r="F324">
        <v>30</v>
      </c>
    </row>
    <row r="325" spans="5:6" x14ac:dyDescent="0.3">
      <c r="E325" s="5">
        <v>17533</v>
      </c>
      <c r="F325">
        <v>30</v>
      </c>
    </row>
    <row r="326" spans="5:6" x14ac:dyDescent="0.3">
      <c r="E326" s="5">
        <v>17441</v>
      </c>
      <c r="F326">
        <v>15</v>
      </c>
    </row>
    <row r="327" spans="5:6" x14ac:dyDescent="0.3">
      <c r="E327" s="5">
        <v>17349</v>
      </c>
      <c r="F327">
        <v>15</v>
      </c>
    </row>
    <row r="328" spans="5:6" x14ac:dyDescent="0.3">
      <c r="E328" s="5">
        <v>17258</v>
      </c>
      <c r="F328">
        <v>15</v>
      </c>
    </row>
    <row r="329" spans="5:6" x14ac:dyDescent="0.3">
      <c r="E329" s="5">
        <v>17168</v>
      </c>
      <c r="F329">
        <v>15</v>
      </c>
    </row>
    <row r="330" spans="5:6" x14ac:dyDescent="0.3">
      <c r="E330" s="5">
        <v>17076</v>
      </c>
      <c r="F330">
        <v>15</v>
      </c>
    </row>
    <row r="331" spans="5:6" x14ac:dyDescent="0.3">
      <c r="E331" s="5">
        <v>16984</v>
      </c>
      <c r="F331">
        <v>15</v>
      </c>
    </row>
    <row r="332" spans="5:6" x14ac:dyDescent="0.3">
      <c r="E332" s="5">
        <v>16893</v>
      </c>
      <c r="F332">
        <v>15</v>
      </c>
    </row>
    <row r="333" spans="5:6" x14ac:dyDescent="0.3">
      <c r="E333" s="5">
        <v>16803</v>
      </c>
      <c r="F333">
        <v>0</v>
      </c>
    </row>
    <row r="334" spans="5:6" x14ac:dyDescent="0.3">
      <c r="E334" s="5">
        <v>16711</v>
      </c>
      <c r="F334">
        <v>0</v>
      </c>
    </row>
    <row r="335" spans="5:6" x14ac:dyDescent="0.3">
      <c r="E335" s="5">
        <v>16619</v>
      </c>
      <c r="F335">
        <v>0</v>
      </c>
    </row>
    <row r="336" spans="5:6" x14ac:dyDescent="0.3">
      <c r="E336" s="5">
        <v>16528</v>
      </c>
      <c r="F336">
        <v>0</v>
      </c>
    </row>
    <row r="337" spans="5:6" x14ac:dyDescent="0.3">
      <c r="E337" s="5">
        <v>16438</v>
      </c>
      <c r="F337">
        <v>0</v>
      </c>
    </row>
    <row r="338" spans="5:6" x14ac:dyDescent="0.3">
      <c r="E338" s="5">
        <v>16346</v>
      </c>
      <c r="F338">
        <v>0</v>
      </c>
    </row>
    <row r="339" spans="5:6" x14ac:dyDescent="0.3">
      <c r="E339" s="5">
        <v>16254</v>
      </c>
      <c r="F339">
        <v>0</v>
      </c>
    </row>
    <row r="340" spans="5:6" x14ac:dyDescent="0.3">
      <c r="E340" s="5">
        <v>16163</v>
      </c>
      <c r="F340">
        <v>0</v>
      </c>
    </row>
    <row r="341" spans="5:6" x14ac:dyDescent="0.3">
      <c r="E341" s="5">
        <v>16072</v>
      </c>
      <c r="F341">
        <v>15</v>
      </c>
    </row>
    <row r="342" spans="5:6" x14ac:dyDescent="0.3">
      <c r="E342" s="5">
        <v>15980</v>
      </c>
      <c r="F342">
        <v>15</v>
      </c>
    </row>
    <row r="343" spans="5:6" x14ac:dyDescent="0.3">
      <c r="E343" s="5">
        <v>15888</v>
      </c>
      <c r="F343">
        <v>15</v>
      </c>
    </row>
    <row r="344" spans="5:6" x14ac:dyDescent="0.3">
      <c r="E344" s="5">
        <v>15797</v>
      </c>
      <c r="F344">
        <v>15</v>
      </c>
    </row>
    <row r="345" spans="5:6" x14ac:dyDescent="0.3">
      <c r="E345" s="5">
        <v>15707</v>
      </c>
      <c r="F345">
        <v>15</v>
      </c>
    </row>
    <row r="346" spans="5:6" x14ac:dyDescent="0.3">
      <c r="E346" s="5">
        <v>15615</v>
      </c>
      <c r="F346">
        <v>15</v>
      </c>
    </row>
    <row r="347" spans="5:6" x14ac:dyDescent="0.3">
      <c r="E347" s="5">
        <v>15523</v>
      </c>
      <c r="F347">
        <v>15</v>
      </c>
    </row>
    <row r="348" spans="5:6" x14ac:dyDescent="0.3">
      <c r="E348" s="5">
        <v>15432</v>
      </c>
      <c r="F348">
        <v>15</v>
      </c>
    </row>
    <row r="349" spans="5:6" x14ac:dyDescent="0.3">
      <c r="E349" s="5">
        <v>15342</v>
      </c>
      <c r="F349">
        <v>15</v>
      </c>
    </row>
    <row r="350" spans="5:6" x14ac:dyDescent="0.3">
      <c r="E350" s="5">
        <v>15250</v>
      </c>
      <c r="F350">
        <v>15</v>
      </c>
    </row>
    <row r="351" spans="5:6" x14ac:dyDescent="0.3">
      <c r="E351" s="5">
        <v>15158</v>
      </c>
      <c r="F351">
        <v>15</v>
      </c>
    </row>
    <row r="352" spans="5:6" x14ac:dyDescent="0.3">
      <c r="E352" s="5">
        <v>15067</v>
      </c>
      <c r="F352">
        <v>15</v>
      </c>
    </row>
    <row r="353" spans="5:6" x14ac:dyDescent="0.3">
      <c r="E353" s="5">
        <v>14977</v>
      </c>
      <c r="F353">
        <v>15</v>
      </c>
    </row>
    <row r="354" spans="5:6" x14ac:dyDescent="0.3">
      <c r="E354" s="5">
        <v>14885</v>
      </c>
      <c r="F354">
        <v>15</v>
      </c>
    </row>
    <row r="355" spans="5:6" x14ac:dyDescent="0.3">
      <c r="E355" s="5">
        <v>14793</v>
      </c>
      <c r="F355">
        <v>15</v>
      </c>
    </row>
    <row r="356" spans="5:6" x14ac:dyDescent="0.3">
      <c r="E356" s="5">
        <v>14702</v>
      </c>
      <c r="F356">
        <v>15</v>
      </c>
    </row>
    <row r="357" spans="5:6" x14ac:dyDescent="0.3">
      <c r="E357" s="5">
        <v>14611</v>
      </c>
      <c r="F357">
        <v>15</v>
      </c>
    </row>
    <row r="358" spans="5:6" x14ac:dyDescent="0.3">
      <c r="E358" s="5">
        <v>14519</v>
      </c>
      <c r="F358">
        <v>0</v>
      </c>
    </row>
    <row r="359" spans="5:6" x14ac:dyDescent="0.3">
      <c r="E359" s="5">
        <v>14427</v>
      </c>
      <c r="F359">
        <v>0</v>
      </c>
    </row>
    <row r="360" spans="5:6" x14ac:dyDescent="0.3">
      <c r="E360" s="5">
        <v>14336</v>
      </c>
      <c r="F360">
        <v>0</v>
      </c>
    </row>
    <row r="361" spans="5:6" x14ac:dyDescent="0.3">
      <c r="E361" s="5">
        <v>14246</v>
      </c>
      <c r="F361">
        <v>0</v>
      </c>
    </row>
    <row r="362" spans="5:6" x14ac:dyDescent="0.3">
      <c r="E362" s="5" t="s">
        <v>376</v>
      </c>
      <c r="F362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06698-6C51-4DF9-8917-90603DF9C2D0}">
  <sheetPr>
    <tabColor theme="1"/>
  </sheetPr>
  <dimension ref="D11:AA25"/>
  <sheetViews>
    <sheetView zoomScale="70" zoomScaleNormal="70" workbookViewId="0">
      <selection activeCell="Y36" sqref="Y36"/>
    </sheetView>
  </sheetViews>
  <sheetFormatPr defaultRowHeight="14.4" x14ac:dyDescent="0.3"/>
  <cols>
    <col min="1" max="1" width="3.33203125" style="2" customWidth="1"/>
    <col min="2" max="4" width="8.88671875" style="2"/>
    <col min="5" max="5" width="2.6640625" style="2" customWidth="1"/>
    <col min="6" max="19" width="8.88671875" style="2"/>
    <col min="20" max="20" width="2.6640625" style="2" customWidth="1"/>
    <col min="21" max="16384" width="8.88671875" style="2"/>
  </cols>
  <sheetData>
    <row r="11" spans="4:4" x14ac:dyDescent="0.3">
      <c r="D11" s="2" t="s">
        <v>410</v>
      </c>
    </row>
    <row r="25" spans="27:27" x14ac:dyDescent="0.3">
      <c r="AA25" s="2" t="s">
        <v>415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23EE7B-69FE-4D36-A0EA-5119DA7092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data_quarterly_yoy_growth</vt:lpstr>
      <vt:lpstr>economy_score</vt:lpstr>
      <vt:lpstr>pivot_analysis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ryoz bolt</dc:creator>
  <cp:lastModifiedBy>ryoz bolt</cp:lastModifiedBy>
  <dcterms:created xsi:type="dcterms:W3CDTF">2026-09-27T00:08:16Z</dcterms:created>
  <dcterms:modified xsi:type="dcterms:W3CDTF">2026-09-28T19:43:24Z</dcterms:modified>
</cp:coreProperties>
</file>